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D131099D-9BD8-47D2-858D-E9B8974A1ED0}" xr6:coauthVersionLast="47" xr6:coauthVersionMax="47" xr10:uidLastSave="{00000000-0000-0000-0000-000000000000}"/>
  <bookViews>
    <workbookView xWindow="8540" yWindow="179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B31" i="1" s="1"/>
  <c r="C19" i="1" s="1"/>
  <c r="D19" i="1" s="1"/>
  <c r="C10" i="1" l="1"/>
  <c r="D10" i="1" s="1"/>
  <c r="C18" i="1"/>
  <c r="D18" i="1" s="1"/>
  <c r="C27" i="1"/>
  <c r="D27" i="1" s="1"/>
  <c r="C26" i="1"/>
  <c r="D26" i="1" s="1"/>
  <c r="C9" i="1"/>
  <c r="D9" i="1" s="1"/>
  <c r="C4" i="1"/>
  <c r="D4" i="1" s="1"/>
  <c r="C17" i="1"/>
  <c r="D17" i="1" s="1"/>
  <c r="C25" i="1"/>
  <c r="D25" i="1" s="1"/>
  <c r="C8" i="1"/>
  <c r="D8" i="1" s="1"/>
  <c r="C16" i="1"/>
  <c r="D16" i="1" s="1"/>
  <c r="C24" i="1"/>
  <c r="D24" i="1" s="1"/>
  <c r="C7" i="1"/>
  <c r="D7" i="1" s="1"/>
  <c r="C15" i="1"/>
  <c r="D15" i="1" s="1"/>
  <c r="C23" i="1"/>
  <c r="D23" i="1" s="1"/>
  <c r="C6" i="1"/>
  <c r="D6" i="1" s="1"/>
  <c r="C22" i="1"/>
  <c r="D22" i="1" s="1"/>
  <c r="C5" i="1"/>
  <c r="D5" i="1" s="1"/>
  <c r="C13" i="1"/>
  <c r="D13" i="1" s="1"/>
  <c r="C3" i="1"/>
  <c r="D3" i="1" s="1"/>
  <c r="C20" i="1"/>
  <c r="D20" i="1" s="1"/>
  <c r="C11" i="1"/>
  <c r="D11" i="1" s="1"/>
  <c r="C14" i="1"/>
  <c r="D14" i="1" s="1"/>
  <c r="C2" i="1"/>
  <c r="C21" i="1"/>
  <c r="D21" i="1" s="1"/>
  <c r="C12" i="1"/>
  <c r="D12" i="1" s="1"/>
  <c r="C29" i="1" l="1"/>
  <c r="D2" i="1"/>
  <c r="D29" i="1" s="1"/>
</calcChain>
</file>

<file path=xl/sharedStrings.xml><?xml version="1.0" encoding="utf-8"?>
<sst xmlns="http://schemas.openxmlformats.org/spreadsheetml/2006/main" count="34" uniqueCount="33">
  <si>
    <t>동호동</t>
    <phoneticPr fontId="1" type="noConversion"/>
  </si>
  <si>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</si>
  <si>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</si>
  <si>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</si>
  <si>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</si>
  <si>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</si>
  <si>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</si>
  <si>
    <t>검단동</t>
    <phoneticPr fontId="1" type="noConversion"/>
  </si>
  <si>
    <t>고성동</t>
    <phoneticPr fontId="1" type="noConversion"/>
  </si>
  <si>
    <t>관음동</t>
    <phoneticPr fontId="1" type="noConversion"/>
  </si>
  <si>
    <t>구암동</t>
    <phoneticPr fontId="1" type="noConversion"/>
  </si>
  <si>
    <t>국우동</t>
    <phoneticPr fontId="1" type="noConversion"/>
  </si>
  <si>
    <t>금호동</t>
    <phoneticPr fontId="1" type="noConversion"/>
  </si>
  <si>
    <t>노곡동</t>
    <phoneticPr fontId="1" type="noConversion"/>
  </si>
  <si>
    <t>노원동</t>
    <phoneticPr fontId="1" type="noConversion"/>
  </si>
  <si>
    <t>대현동</t>
    <phoneticPr fontId="1" type="noConversion"/>
  </si>
  <si>
    <t>도남동</t>
    <phoneticPr fontId="1" type="noConversion"/>
  </si>
  <si>
    <t>동변동</t>
    <phoneticPr fontId="1" type="noConversion"/>
  </si>
  <si>
    <t>동천동</t>
    <phoneticPr fontId="1" type="noConversion"/>
  </si>
  <si>
    <t>매천동</t>
    <phoneticPr fontId="1" type="noConversion"/>
  </si>
  <si>
    <t>복현동</t>
    <phoneticPr fontId="1" type="noConversion"/>
  </si>
  <si>
    <t>사수동</t>
    <phoneticPr fontId="1" type="noConversion"/>
  </si>
  <si>
    <t>산격동</t>
    <phoneticPr fontId="1" type="noConversion"/>
  </si>
  <si>
    <t>서변동</t>
    <phoneticPr fontId="1" type="noConversion"/>
  </si>
  <si>
    <t>연경동</t>
    <phoneticPr fontId="1" type="noConversion"/>
  </si>
  <si>
    <t>읍내동</t>
    <phoneticPr fontId="1" type="noConversion"/>
  </si>
  <si>
    <t>조야동</t>
    <phoneticPr fontId="1" type="noConversion"/>
  </si>
  <si>
    <t>칠성동</t>
    <phoneticPr fontId="1" type="noConversion"/>
  </si>
  <si>
    <t>침산동</t>
    <phoneticPr fontId="1" type="noConversion"/>
  </si>
  <si>
    <t>태전동</t>
    <phoneticPr fontId="1" type="noConversion"/>
  </si>
  <si>
    <t>팔달동</t>
    <phoneticPr fontId="1" type="noConversion"/>
  </si>
  <si>
    <t>학정동</t>
    <phoneticPr fontId="1" type="noConversion"/>
  </si>
  <si>
    <t>여기1뺌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</si>
</sst>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E31"/>
  <sheetViews>
    <sheetView tabSelected="1" workbookViewId="0">
      <selection activeCell="G11" sqref="G11"/>
    </sheetView>
  </sheetViews>
  <sheetFormatPr defaultRowHeight="17" x14ac:dyDescent="0.45"/>
  <sheetData>
    <row r="1" spans="1:4" x14ac:dyDescent="0.45">
      <c r="B1" t="s">
        <v>1</v>
      </c>
      <c r="C1" t="s">
        <v>2</v>
      </c>
      <c r="D1" t="s">
        <v>3</v>
      </c>
    </row>
    <row r="2" spans="1:4" x14ac:dyDescent="0.45">
      <c r="A2" t="s">
        <v>7</v>
      </c>
      <c r="B2">
        <v>5524</v>
      </c>
      <c r="C2">
        <f t="shared" ref="C2:C27" si="0">B2*$B$31</f>
        <v>5537.0233950451229</v>
      </c>
      <c r="D2">
        <f>ROUND(C2,0)</f>
        <v>5537</v>
      </c>
    </row>
    <row r="3" spans="1:4" x14ac:dyDescent="0.45">
      <c r="A3" t="s">
        <v>8</v>
      </c>
      <c r="B3">
        <v>14468</v>
      </c>
      <c r="C3">
        <f t="shared" si="0"/>
        <v>14502.10978991905</v>
      </c>
      <c r="D3">
        <f t="shared" ref="D3:D27" si="1">ROUND(C3,0)</f>
        <v>14502</v>
      </c>
    </row>
    <row r="4" spans="1:4" x14ac:dyDescent="0.45">
      <c r="A4" t="s">
        <v>9</v>
      </c>
      <c r="B4">
        <v>13890</v>
      </c>
      <c r="C4">
        <f t="shared" si="0"/>
        <v>13922.747095795936</v>
      </c>
      <c r="D4">
        <f t="shared" si="1"/>
        <v>13923</v>
      </c>
    </row>
    <row r="5" spans="1:4" x14ac:dyDescent="0.45">
      <c r="A5" t="s">
        <v>10</v>
      </c>
      <c r="B5">
        <v>30693</v>
      </c>
      <c r="C5">
        <f t="shared" si="0"/>
        <v>30765.361887060091</v>
      </c>
      <c r="D5">
        <f t="shared" si="1"/>
        <v>30765</v>
      </c>
    </row>
    <row r="6" spans="1:4" x14ac:dyDescent="0.45">
      <c r="A6" t="s">
        <v>11</v>
      </c>
      <c r="B6">
        <v>19488</v>
      </c>
      <c r="C6">
        <f t="shared" si="0"/>
        <v>19533.944953410453</v>
      </c>
      <c r="D6">
        <f t="shared" si="1"/>
        <v>19534</v>
      </c>
    </row>
    <row r="7" spans="1:4" x14ac:dyDescent="0.45">
      <c r="A7" t="s">
        <v>12</v>
      </c>
      <c r="B7">
        <v>742</v>
      </c>
      <c r="C7">
        <f t="shared" si="0"/>
        <v>743.74934089853025</v>
      </c>
      <c r="D7">
        <f t="shared" si="1"/>
        <v>744</v>
      </c>
    </row>
    <row r="8" spans="1:4" x14ac:dyDescent="0.45">
      <c r="A8" t="s">
        <v>13</v>
      </c>
      <c r="B8">
        <v>670</v>
      </c>
      <c r="C8">
        <f t="shared" si="0"/>
        <v>671.57959353371325</v>
      </c>
      <c r="D8">
        <f t="shared" si="1"/>
        <v>672</v>
      </c>
    </row>
    <row r="9" spans="1:4" x14ac:dyDescent="0.45">
      <c r="A9" t="s">
        <v>14</v>
      </c>
      <c r="B9">
        <v>11029</v>
      </c>
      <c r="C9">
        <f t="shared" si="0"/>
        <v>11055.001995646751</v>
      </c>
      <c r="D9">
        <f t="shared" si="1"/>
        <v>11055</v>
      </c>
    </row>
    <row r="10" spans="1:4" x14ac:dyDescent="0.45">
      <c r="A10" t="s">
        <v>15</v>
      </c>
      <c r="B10">
        <v>15509</v>
      </c>
      <c r="C10">
        <f t="shared" si="0"/>
        <v>15545.564053902028</v>
      </c>
      <c r="D10">
        <f t="shared" si="1"/>
        <v>15546</v>
      </c>
    </row>
    <row r="11" spans="1:4" x14ac:dyDescent="0.45">
      <c r="A11" t="s">
        <v>16</v>
      </c>
      <c r="B11">
        <v>1662</v>
      </c>
      <c r="C11">
        <f t="shared" si="0"/>
        <v>1665.9183350045246</v>
      </c>
      <c r="D11">
        <f t="shared" si="1"/>
        <v>1666</v>
      </c>
    </row>
    <row r="12" spans="1:4" x14ac:dyDescent="0.45">
      <c r="A12" t="s">
        <v>17</v>
      </c>
      <c r="B12">
        <v>9969</v>
      </c>
      <c r="C12">
        <f t="shared" si="0"/>
        <v>9992.5029372202807</v>
      </c>
      <c r="D12">
        <f t="shared" si="1"/>
        <v>9993</v>
      </c>
    </row>
    <row r="13" spans="1:4" x14ac:dyDescent="0.45">
      <c r="A13" t="s">
        <v>18</v>
      </c>
      <c r="B13">
        <v>25010</v>
      </c>
      <c r="C13">
        <f t="shared" si="0"/>
        <v>25068.963633250998</v>
      </c>
      <c r="D13">
        <f t="shared" si="1"/>
        <v>25069</v>
      </c>
    </row>
    <row r="14" spans="1:4" x14ac:dyDescent="0.45">
      <c r="A14" t="s">
        <v>0</v>
      </c>
      <c r="B14">
        <v>169</v>
      </c>
      <c r="C14">
        <f t="shared" si="0"/>
        <v>169.398434786862</v>
      </c>
      <c r="D14">
        <f t="shared" si="1"/>
        <v>169</v>
      </c>
    </row>
    <row r="15" spans="1:4" x14ac:dyDescent="0.45">
      <c r="A15" t="s">
        <v>19</v>
      </c>
      <c r="B15">
        <v>11934</v>
      </c>
      <c r="C15">
        <f t="shared" si="0"/>
        <v>11962.135625718409</v>
      </c>
      <c r="D15">
        <f t="shared" si="1"/>
        <v>11962</v>
      </c>
    </row>
    <row r="16" spans="1:4" x14ac:dyDescent="0.45">
      <c r="A16" t="s">
        <v>20</v>
      </c>
      <c r="B16">
        <v>35659</v>
      </c>
      <c r="C16">
        <f t="shared" si="0"/>
        <v>35743.06974002788</v>
      </c>
      <c r="D16">
        <f t="shared" si="1"/>
        <v>35743</v>
      </c>
    </row>
    <row r="17" spans="1:5" x14ac:dyDescent="0.45">
      <c r="A17" t="s">
        <v>21</v>
      </c>
      <c r="B17">
        <v>14910</v>
      </c>
      <c r="C17">
        <f t="shared" si="0"/>
        <v>14945.151850130844</v>
      </c>
      <c r="D17">
        <f t="shared" si="1"/>
        <v>14945</v>
      </c>
    </row>
    <row r="18" spans="1:5" x14ac:dyDescent="0.45">
      <c r="A18" t="s">
        <v>22</v>
      </c>
      <c r="B18">
        <v>32168</v>
      </c>
      <c r="C18">
        <f t="shared" si="0"/>
        <v>32243.839350436549</v>
      </c>
      <c r="D18">
        <f t="shared" si="1"/>
        <v>32244</v>
      </c>
      <c r="E18" t="s">
        <v>32</v>
      </c>
    </row>
    <row r="19" spans="1:5" x14ac:dyDescent="0.45">
      <c r="A19" t="s">
        <v>23</v>
      </c>
      <c r="B19">
        <v>12546</v>
      </c>
      <c r="C19">
        <f t="shared" si="0"/>
        <v>12575.578478319354</v>
      </c>
      <c r="D19">
        <f t="shared" si="1"/>
        <v>12576</v>
      </c>
    </row>
    <row r="20" spans="1:5" x14ac:dyDescent="0.45">
      <c r="A20" t="s">
        <v>24</v>
      </c>
      <c r="B20">
        <v>9312</v>
      </c>
      <c r="C20">
        <f t="shared" si="0"/>
        <v>9333.9539925163263</v>
      </c>
      <c r="D20">
        <f t="shared" si="1"/>
        <v>9334</v>
      </c>
    </row>
    <row r="21" spans="1:5" x14ac:dyDescent="0.45">
      <c r="A21" t="s">
        <v>25</v>
      </c>
      <c r="B21">
        <v>24940</v>
      </c>
      <c r="C21">
        <f t="shared" si="0"/>
        <v>24998.798601090759</v>
      </c>
      <c r="D21">
        <f t="shared" si="1"/>
        <v>24999</v>
      </c>
    </row>
    <row r="22" spans="1:5" x14ac:dyDescent="0.45">
      <c r="A22" t="s">
        <v>26</v>
      </c>
      <c r="B22">
        <v>1071</v>
      </c>
      <c r="C22">
        <f t="shared" si="0"/>
        <v>1073.5249920516521</v>
      </c>
      <c r="D22">
        <f t="shared" si="1"/>
        <v>1074</v>
      </c>
    </row>
    <row r="23" spans="1:5" x14ac:dyDescent="0.45">
      <c r="A23" t="s">
        <v>27</v>
      </c>
      <c r="B23">
        <v>22941</v>
      </c>
      <c r="C23">
        <f t="shared" si="0"/>
        <v>22995.0857541148</v>
      </c>
      <c r="D23">
        <f t="shared" si="1"/>
        <v>22995</v>
      </c>
    </row>
    <row r="24" spans="1:5" x14ac:dyDescent="0.45">
      <c r="A24" t="s">
        <v>28</v>
      </c>
      <c r="B24">
        <v>39341</v>
      </c>
      <c r="C24">
        <f t="shared" si="0"/>
        <v>39433.750431656437</v>
      </c>
      <c r="D24">
        <f t="shared" si="1"/>
        <v>39434</v>
      </c>
      <c r="E24" t="s">
        <v>32</v>
      </c>
    </row>
    <row r="25" spans="1:5" x14ac:dyDescent="0.45">
      <c r="A25" t="s">
        <v>29</v>
      </c>
      <c r="B25">
        <v>42910</v>
      </c>
      <c r="C25">
        <f t="shared" si="0"/>
        <v>43011.164714226325</v>
      </c>
      <c r="D25">
        <f t="shared" si="1"/>
        <v>43011</v>
      </c>
    </row>
    <row r="26" spans="1:5" x14ac:dyDescent="0.45">
      <c r="A26" t="s">
        <v>30</v>
      </c>
      <c r="B26">
        <v>4088</v>
      </c>
      <c r="C26">
        <f t="shared" si="0"/>
        <v>4097.6378781579397</v>
      </c>
      <c r="D26">
        <f t="shared" si="1"/>
        <v>4098</v>
      </c>
    </row>
    <row r="27" spans="1:5" x14ac:dyDescent="0.45">
      <c r="A27" t="s">
        <v>31</v>
      </c>
      <c r="B27">
        <v>8247</v>
      </c>
      <c r="C27">
        <f t="shared" si="0"/>
        <v>8266.4431460784072</v>
      </c>
      <c r="D27">
        <f t="shared" si="1"/>
        <v>8266</v>
      </c>
    </row>
    <row r="29" spans="1:5" x14ac:dyDescent="0.45">
      <c r="A29" t="s">
        <v>4</v>
      </c>
      <c r="B29">
        <f>SUM(B2:B27)</f>
        <v>408890</v>
      </c>
      <c r="C29">
        <f>SUM(C2:C27)</f>
        <v>409854</v>
      </c>
      <c r="D29">
        <f>SUM(D2:D27)</f>
        <v>409856</v>
      </c>
    </row>
    <row r="30" spans="1:5" x14ac:dyDescent="0.45">
      <c r="A30" t="s">
        <v>5</v>
      </c>
      <c r="B30">
        <v>409854</v>
      </c>
    </row>
    <row r="31" spans="1:5" x14ac:dyDescent="0.45">
      <c r="A31" t="s">
        <v>6</v>
      </c>
      <c r="B31">
        <f>B30/B29</f>
        <v>1.0023576022891243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2026-02-10T15:58:10Z</dcterms:modified>
</cp:coreProperties>
</file>