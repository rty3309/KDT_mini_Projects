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S17\Desktop\miniProject_sql\"/>
    </mc:Choice>
  </mc:AlternateContent>
  <xr:revisionPtr revIDLastSave="0" documentId="13_ncr:1_{3F02E837-C305-4D7A-9229-D13CF80683DC}" xr6:coauthVersionLast="47" xr6:coauthVersionMax="47" xr10:uidLastSave="{00000000-0000-0000-0000-000000000000}"/>
  <bookViews>
    <workbookView xWindow="2220" yWindow="2700" windowWidth="11380" windowHeight="11170" xr2:uid="{BEA1C644-B608-43FB-8E8B-8BA22A7936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8" i="1" l="1"/>
  <c r="D48" i="1"/>
  <c r="C3" i="1"/>
  <c r="D3" i="1" s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 s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 s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 s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 s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 s="1"/>
  <c r="C44" i="1"/>
  <c r="D44" i="1"/>
  <c r="C45" i="1"/>
  <c r="D45" i="1"/>
  <c r="C46" i="1"/>
  <c r="D46" i="1"/>
  <c r="D2" i="1"/>
  <c r="C2" i="1"/>
  <c r="B48" i="1"/>
  <c r="B50" i="1" s="1"/>
</calcChain>
</file>

<file path=xl/sharedStrings.xml><?xml version="1.0" encoding="utf-8"?>
<sst xmlns="http://schemas.openxmlformats.org/spreadsheetml/2006/main" count="51" uniqueCount="51">
  <si>
    <t>각산동</t>
    <phoneticPr fontId="1" type="noConversion"/>
  </si>
  <si>
    <t>검사동</t>
    <phoneticPr fontId="1" type="noConversion"/>
  </si>
  <si>
    <t>괴전동</t>
    <phoneticPr fontId="1" type="noConversion"/>
  </si>
  <si>
    <t>금강동</t>
    <phoneticPr fontId="1" type="noConversion"/>
  </si>
  <si>
    <t>내곡동</t>
    <phoneticPr fontId="1" type="noConversion"/>
  </si>
  <si>
    <t>내동</t>
    <phoneticPr fontId="1" type="noConversion"/>
  </si>
  <si>
    <t>능성동</t>
    <phoneticPr fontId="1" type="noConversion"/>
  </si>
  <si>
    <t>대림동</t>
    <phoneticPr fontId="1" type="noConversion"/>
  </si>
  <si>
    <t>덕곡동</t>
    <phoneticPr fontId="1" type="noConversion"/>
  </si>
  <si>
    <t>도동</t>
    <phoneticPr fontId="1" type="noConversion"/>
  </si>
  <si>
    <t>도학동</t>
    <phoneticPr fontId="1" type="noConversion"/>
  </si>
  <si>
    <t>동내동</t>
    <phoneticPr fontId="1" type="noConversion"/>
  </si>
  <si>
    <t>동호동</t>
    <phoneticPr fontId="1" type="noConversion"/>
  </si>
  <si>
    <t>둔산동</t>
    <phoneticPr fontId="1" type="noConversion"/>
  </si>
  <si>
    <t>매여동</t>
    <phoneticPr fontId="1" type="noConversion"/>
  </si>
  <si>
    <t>미곡동</t>
    <phoneticPr fontId="1" type="noConversion"/>
  </si>
  <si>
    <t>미대동</t>
    <phoneticPr fontId="1" type="noConversion"/>
  </si>
  <si>
    <t>방촌동</t>
    <phoneticPr fontId="1" type="noConversion"/>
  </si>
  <si>
    <t>백안동</t>
    <phoneticPr fontId="1" type="noConversion"/>
  </si>
  <si>
    <t>봉무동</t>
    <phoneticPr fontId="1" type="noConversion"/>
  </si>
  <si>
    <t>부동</t>
    <phoneticPr fontId="1" type="noConversion"/>
  </si>
  <si>
    <t>불로동</t>
    <phoneticPr fontId="1" type="noConversion"/>
  </si>
  <si>
    <t>사복동</t>
    <phoneticPr fontId="1" type="noConversion"/>
  </si>
  <si>
    <t>상매동</t>
    <phoneticPr fontId="1" type="noConversion"/>
  </si>
  <si>
    <t>서호동</t>
    <phoneticPr fontId="1" type="noConversion"/>
  </si>
  <si>
    <t>송정동</t>
    <phoneticPr fontId="1" type="noConversion"/>
  </si>
  <si>
    <t>숙천동</t>
    <phoneticPr fontId="1" type="noConversion"/>
  </si>
  <si>
    <t>신기동</t>
    <phoneticPr fontId="1" type="noConversion"/>
  </si>
  <si>
    <t>신무동</t>
    <phoneticPr fontId="1" type="noConversion"/>
  </si>
  <si>
    <t>신서동</t>
    <phoneticPr fontId="1" type="noConversion"/>
  </si>
  <si>
    <t>신암동</t>
    <phoneticPr fontId="1" type="noConversion"/>
  </si>
  <si>
    <t>신용동</t>
    <phoneticPr fontId="1" type="noConversion"/>
  </si>
  <si>
    <t>신천동</t>
    <phoneticPr fontId="1" type="noConversion"/>
  </si>
  <si>
    <t>신평동</t>
    <phoneticPr fontId="1" type="noConversion"/>
  </si>
  <si>
    <t>용계동</t>
    <phoneticPr fontId="1" type="noConversion"/>
  </si>
  <si>
    <t>용수동</t>
    <phoneticPr fontId="1" type="noConversion"/>
  </si>
  <si>
    <t>율암동</t>
    <phoneticPr fontId="1" type="noConversion"/>
  </si>
  <si>
    <t>율하동</t>
    <phoneticPr fontId="1" type="noConversion"/>
  </si>
  <si>
    <t>입석동</t>
    <phoneticPr fontId="1" type="noConversion"/>
  </si>
  <si>
    <t>중대동</t>
    <phoneticPr fontId="1" type="noConversion"/>
  </si>
  <si>
    <t>지묘동</t>
    <phoneticPr fontId="1" type="noConversion"/>
  </si>
  <si>
    <t>지저동</t>
    <phoneticPr fontId="1" type="noConversion"/>
  </si>
  <si>
    <t>진인동</t>
    <phoneticPr fontId="1" type="noConversion"/>
  </si>
  <si>
    <t>평광동</t>
    <phoneticPr fontId="1" type="noConversion"/>
  </si>
  <si>
    <t>효목동</t>
    <phoneticPr fontId="1" type="noConversion"/>
  </si>
  <si>
    <t>인구</t>
    <phoneticPr fontId="1" type="noConversion"/>
  </si>
  <si>
    <t>비율계산</t>
    <phoneticPr fontId="1" type="noConversion"/>
  </si>
  <si>
    <t>반올림</t>
    <phoneticPr fontId="1" type="noConversion"/>
  </si>
  <si>
    <t>합</t>
    <phoneticPr fontId="1" type="noConversion"/>
  </si>
  <si>
    <t>원래 계</t>
    <phoneticPr fontId="1" type="noConversion"/>
  </si>
  <si>
    <t>비율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</si>
</sst>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F562-B338-45FE-8FD3-C425897E6A05}">
  <dimension ref="A1:D50"/>
  <sheetViews>
    <sheetView tabSelected="1" topLeftCell="A38" workbookViewId="0">
      <selection activeCell="D49" sqref="D49"/>
    </sheetView>
  </sheetViews>
  <sheetFormatPr defaultRowHeight="17" x14ac:dyDescent="0.45"/>
  <sheetData>
    <row r="1" spans="1:4" x14ac:dyDescent="0.45">
      <c r="B1" t="s">
        <v>45</v>
      </c>
      <c r="C1" t="s">
        <v>46</v>
      </c>
      <c r="D1" t="s">
        <v>47</v>
      </c>
    </row>
    <row r="2" spans="1:4" x14ac:dyDescent="0.45">
      <c r="A2" t="s">
        <v>0</v>
      </c>
      <c r="B2">
        <v>17607</v>
      </c>
      <c r="C2">
        <f>B2*$B$50</f>
        <v>17841.428357669574</v>
      </c>
      <c r="D2">
        <f>ROUND(C2,0)</f>
        <v>17841</v>
      </c>
    </row>
    <row r="3" spans="1:4" x14ac:dyDescent="0.45">
      <c r="A3" t="s">
        <v>1</v>
      </c>
      <c r="B3">
        <v>9138</v>
      </c>
      <c r="C3">
        <f t="shared" ref="C3:C46" si="0">B3*$B$50</f>
        <v>9259.6678782520903</v>
      </c>
      <c r="D3">
        <f t="shared" ref="D3:D46" si="1">ROUND(C3,0)</f>
        <v>9260</v>
      </c>
    </row>
    <row r="4" spans="1:4" x14ac:dyDescent="0.45">
      <c r="A4" t="s">
        <v>2</v>
      </c>
      <c r="B4">
        <v>5662</v>
      </c>
      <c r="C4">
        <f t="shared" si="0"/>
        <v>5737.3866849051583</v>
      </c>
      <c r="D4">
        <f t="shared" si="1"/>
        <v>5737</v>
      </c>
    </row>
    <row r="5" spans="1:4" x14ac:dyDescent="0.45">
      <c r="A5" t="s">
        <v>3</v>
      </c>
      <c r="B5">
        <v>212</v>
      </c>
      <c r="C5">
        <f t="shared" si="0"/>
        <v>214.82267347225249</v>
      </c>
      <c r="D5">
        <f t="shared" si="1"/>
        <v>215</v>
      </c>
    </row>
    <row r="6" spans="1:4" x14ac:dyDescent="0.45">
      <c r="A6" t="s">
        <v>4</v>
      </c>
      <c r="B6">
        <v>78</v>
      </c>
      <c r="C6">
        <f t="shared" si="0"/>
        <v>79.038530805828742</v>
      </c>
      <c r="D6">
        <f t="shared" si="1"/>
        <v>79</v>
      </c>
    </row>
    <row r="7" spans="1:4" x14ac:dyDescent="0.45">
      <c r="A7" t="s">
        <v>5</v>
      </c>
      <c r="B7">
        <v>143</v>
      </c>
      <c r="C7">
        <f t="shared" si="0"/>
        <v>144.90397314401937</v>
      </c>
      <c r="D7">
        <f t="shared" si="1"/>
        <v>145</v>
      </c>
    </row>
    <row r="8" spans="1:4" x14ac:dyDescent="0.45">
      <c r="A8" t="s">
        <v>6</v>
      </c>
      <c r="B8">
        <v>173</v>
      </c>
      <c r="C8">
        <f t="shared" si="0"/>
        <v>175.30340806933813</v>
      </c>
      <c r="D8">
        <f t="shared" si="1"/>
        <v>175</v>
      </c>
    </row>
    <row r="9" spans="1:4" x14ac:dyDescent="0.45">
      <c r="A9" t="s">
        <v>7</v>
      </c>
      <c r="B9">
        <v>2408</v>
      </c>
      <c r="C9">
        <f t="shared" si="0"/>
        <v>2440.0613100055848</v>
      </c>
      <c r="D9">
        <f t="shared" si="1"/>
        <v>2440</v>
      </c>
    </row>
    <row r="10" spans="1:4" x14ac:dyDescent="0.45">
      <c r="A10" t="s">
        <v>8</v>
      </c>
      <c r="B10">
        <v>527</v>
      </c>
      <c r="C10">
        <f t="shared" si="0"/>
        <v>534.01674018809933</v>
      </c>
      <c r="D10">
        <f t="shared" si="1"/>
        <v>534</v>
      </c>
    </row>
    <row r="11" spans="1:4" x14ac:dyDescent="0.45">
      <c r="A11" t="s">
        <v>9</v>
      </c>
      <c r="B11">
        <v>2545</v>
      </c>
      <c r="C11">
        <f t="shared" si="0"/>
        <v>2578.8853961645405</v>
      </c>
      <c r="D11">
        <f t="shared" si="1"/>
        <v>2579</v>
      </c>
    </row>
    <row r="12" spans="1:4" x14ac:dyDescent="0.45">
      <c r="A12" t="s">
        <v>10</v>
      </c>
      <c r="B12">
        <v>259</v>
      </c>
      <c r="C12">
        <f t="shared" si="0"/>
        <v>262.44845485525184</v>
      </c>
      <c r="D12">
        <f t="shared" si="1"/>
        <v>262</v>
      </c>
    </row>
    <row r="13" spans="1:4" x14ac:dyDescent="0.45">
      <c r="A13" t="s">
        <v>11</v>
      </c>
      <c r="B13">
        <v>123</v>
      </c>
      <c r="C13">
        <f t="shared" si="0"/>
        <v>124.63768319380686</v>
      </c>
      <c r="D13">
        <f t="shared" si="1"/>
        <v>125</v>
      </c>
    </row>
    <row r="14" spans="1:4" x14ac:dyDescent="0.45">
      <c r="A14" t="s">
        <v>12</v>
      </c>
      <c r="B14">
        <v>169</v>
      </c>
      <c r="C14">
        <f t="shared" si="0"/>
        <v>171.25015007929562</v>
      </c>
      <c r="D14">
        <f t="shared" si="1"/>
        <v>171</v>
      </c>
    </row>
    <row r="15" spans="1:4" x14ac:dyDescent="0.45">
      <c r="A15" t="s">
        <v>13</v>
      </c>
      <c r="B15">
        <v>1166</v>
      </c>
      <c r="C15">
        <f t="shared" si="0"/>
        <v>1181.5247040973886</v>
      </c>
      <c r="D15">
        <f t="shared" si="1"/>
        <v>1182</v>
      </c>
    </row>
    <row r="16" spans="1:4" x14ac:dyDescent="0.45">
      <c r="A16" t="s">
        <v>14</v>
      </c>
      <c r="B16">
        <v>111</v>
      </c>
      <c r="C16">
        <f t="shared" si="0"/>
        <v>112.47790922367938</v>
      </c>
      <c r="D16">
        <f t="shared" si="1"/>
        <v>112</v>
      </c>
    </row>
    <row r="17" spans="1:4" x14ac:dyDescent="0.45">
      <c r="A17" t="s">
        <v>15</v>
      </c>
      <c r="B17">
        <v>323</v>
      </c>
      <c r="C17">
        <f t="shared" si="0"/>
        <v>327.30058269593184</v>
      </c>
      <c r="D17">
        <f t="shared" si="1"/>
        <v>327</v>
      </c>
    </row>
    <row r="18" spans="1:4" x14ac:dyDescent="0.45">
      <c r="A18" t="s">
        <v>16</v>
      </c>
      <c r="B18">
        <v>330</v>
      </c>
      <c r="C18">
        <f t="shared" si="0"/>
        <v>334.39378417850622</v>
      </c>
      <c r="D18">
        <f t="shared" si="1"/>
        <v>334</v>
      </c>
    </row>
    <row r="19" spans="1:4" x14ac:dyDescent="0.45">
      <c r="A19" t="s">
        <v>17</v>
      </c>
      <c r="B19">
        <v>26287</v>
      </c>
      <c r="C19">
        <f t="shared" si="0"/>
        <v>26636.998196061799</v>
      </c>
      <c r="D19">
        <f t="shared" si="1"/>
        <v>26637</v>
      </c>
    </row>
    <row r="20" spans="1:4" x14ac:dyDescent="0.45">
      <c r="A20" t="s">
        <v>18</v>
      </c>
      <c r="B20">
        <v>690</v>
      </c>
      <c r="C20">
        <f t="shared" si="0"/>
        <v>699.18700328233126</v>
      </c>
      <c r="D20">
        <f t="shared" si="1"/>
        <v>699</v>
      </c>
    </row>
    <row r="21" spans="1:4" x14ac:dyDescent="0.45">
      <c r="A21" t="s">
        <v>19</v>
      </c>
      <c r="B21">
        <v>14367</v>
      </c>
      <c r="C21">
        <f t="shared" si="0"/>
        <v>14558.289385735148</v>
      </c>
      <c r="D21">
        <f t="shared" si="1"/>
        <v>14558</v>
      </c>
    </row>
    <row r="22" spans="1:4" x14ac:dyDescent="0.45">
      <c r="A22" t="s">
        <v>20</v>
      </c>
      <c r="B22">
        <v>340</v>
      </c>
      <c r="C22">
        <f t="shared" si="0"/>
        <v>344.52692915361251</v>
      </c>
      <c r="D22">
        <f t="shared" si="1"/>
        <v>345</v>
      </c>
    </row>
    <row r="23" spans="1:4" x14ac:dyDescent="0.45">
      <c r="A23" t="s">
        <v>21</v>
      </c>
      <c r="B23">
        <v>9180</v>
      </c>
      <c r="C23">
        <f t="shared" si="0"/>
        <v>9302.2270871475375</v>
      </c>
      <c r="D23">
        <f t="shared" si="1"/>
        <v>9302</v>
      </c>
    </row>
    <row r="24" spans="1:4" x14ac:dyDescent="0.45">
      <c r="A24" t="s">
        <v>22</v>
      </c>
      <c r="B24">
        <v>3425</v>
      </c>
      <c r="C24">
        <f t="shared" si="0"/>
        <v>3470.6021539738904</v>
      </c>
      <c r="D24">
        <f t="shared" si="1"/>
        <v>3471</v>
      </c>
    </row>
    <row r="25" spans="1:4" x14ac:dyDescent="0.45">
      <c r="A25" t="s">
        <v>23</v>
      </c>
      <c r="B25">
        <v>70</v>
      </c>
      <c r="C25">
        <f t="shared" si="0"/>
        <v>70.932014825743749</v>
      </c>
      <c r="D25">
        <f t="shared" si="1"/>
        <v>71</v>
      </c>
    </row>
    <row r="26" spans="1:4" x14ac:dyDescent="0.45">
      <c r="A26" t="s">
        <v>24</v>
      </c>
      <c r="B26">
        <v>2559</v>
      </c>
      <c r="C26">
        <f t="shared" si="0"/>
        <v>2593.0717991296892</v>
      </c>
      <c r="D26">
        <f t="shared" si="1"/>
        <v>2593</v>
      </c>
    </row>
    <row r="27" spans="1:4" x14ac:dyDescent="0.45">
      <c r="A27" t="s">
        <v>25</v>
      </c>
      <c r="B27">
        <v>294</v>
      </c>
      <c r="C27">
        <f t="shared" si="0"/>
        <v>297.91446226812371</v>
      </c>
      <c r="D27">
        <f t="shared" si="1"/>
        <v>298</v>
      </c>
    </row>
    <row r="28" spans="1:4" x14ac:dyDescent="0.45">
      <c r="A28" t="s">
        <v>26</v>
      </c>
      <c r="B28">
        <v>1555</v>
      </c>
      <c r="C28">
        <f t="shared" si="0"/>
        <v>1575.7040436290217</v>
      </c>
      <c r="D28">
        <f t="shared" si="1"/>
        <v>1576</v>
      </c>
    </row>
    <row r="29" spans="1:4" x14ac:dyDescent="0.45">
      <c r="A29" t="s">
        <v>27</v>
      </c>
      <c r="B29">
        <v>7958</v>
      </c>
      <c r="C29">
        <f t="shared" si="0"/>
        <v>8063.9567711895534</v>
      </c>
      <c r="D29">
        <f t="shared" si="1"/>
        <v>8064</v>
      </c>
    </row>
    <row r="30" spans="1:4" x14ac:dyDescent="0.45">
      <c r="A30" t="s">
        <v>28</v>
      </c>
      <c r="B30">
        <v>214</v>
      </c>
      <c r="C30">
        <f t="shared" si="0"/>
        <v>216.84930246727373</v>
      </c>
      <c r="D30">
        <f t="shared" si="1"/>
        <v>217</v>
      </c>
    </row>
    <row r="31" spans="1:4" x14ac:dyDescent="0.45">
      <c r="A31" t="s">
        <v>29</v>
      </c>
      <c r="B31">
        <v>25075</v>
      </c>
      <c r="C31">
        <f t="shared" si="0"/>
        <v>25408.861025078921</v>
      </c>
      <c r="D31">
        <f t="shared" si="1"/>
        <v>25409</v>
      </c>
    </row>
    <row r="32" spans="1:4" x14ac:dyDescent="0.45">
      <c r="A32" t="s">
        <v>30</v>
      </c>
      <c r="B32">
        <v>54376</v>
      </c>
      <c r="C32">
        <f t="shared" si="0"/>
        <v>55099.989116637742</v>
      </c>
      <c r="D32">
        <f t="shared" si="1"/>
        <v>55100</v>
      </c>
    </row>
    <row r="33" spans="1:4" x14ac:dyDescent="0.45">
      <c r="A33" t="s">
        <v>31</v>
      </c>
      <c r="B33">
        <v>211</v>
      </c>
      <c r="C33">
        <f t="shared" si="0"/>
        <v>213.80935897474185</v>
      </c>
      <c r="D33">
        <f t="shared" si="1"/>
        <v>214</v>
      </c>
    </row>
    <row r="34" spans="1:4" x14ac:dyDescent="0.45">
      <c r="A34" t="s">
        <v>32</v>
      </c>
      <c r="B34">
        <v>41762</v>
      </c>
      <c r="C34">
        <f t="shared" si="0"/>
        <v>42318.040045038717</v>
      </c>
      <c r="D34">
        <f t="shared" si="1"/>
        <v>42318</v>
      </c>
    </row>
    <row r="35" spans="1:4" x14ac:dyDescent="0.45">
      <c r="A35" t="s">
        <v>33</v>
      </c>
      <c r="B35">
        <v>2315</v>
      </c>
      <c r="C35">
        <f t="shared" si="0"/>
        <v>2345.8230617370969</v>
      </c>
      <c r="D35">
        <f t="shared" si="1"/>
        <v>2346</v>
      </c>
    </row>
    <row r="36" spans="1:4" x14ac:dyDescent="0.45">
      <c r="A36" t="s">
        <v>34</v>
      </c>
      <c r="B36">
        <v>12131</v>
      </c>
      <c r="C36">
        <f t="shared" si="0"/>
        <v>12292.518169301391</v>
      </c>
      <c r="D36">
        <f t="shared" si="1"/>
        <v>12293</v>
      </c>
    </row>
    <row r="37" spans="1:4" x14ac:dyDescent="0.45">
      <c r="A37" t="s">
        <v>35</v>
      </c>
      <c r="B37">
        <v>233</v>
      </c>
      <c r="C37">
        <f t="shared" si="0"/>
        <v>236.10227791997562</v>
      </c>
      <c r="D37">
        <f t="shared" si="1"/>
        <v>236</v>
      </c>
    </row>
    <row r="38" spans="1:4" x14ac:dyDescent="0.45">
      <c r="A38" t="s">
        <v>36</v>
      </c>
      <c r="B38">
        <v>4674</v>
      </c>
      <c r="C38">
        <f t="shared" si="0"/>
        <v>4736.2319613646614</v>
      </c>
      <c r="D38">
        <f t="shared" si="1"/>
        <v>4736</v>
      </c>
    </row>
    <row r="39" spans="1:4" x14ac:dyDescent="0.45">
      <c r="A39" t="s">
        <v>37</v>
      </c>
      <c r="B39">
        <v>29563</v>
      </c>
      <c r="C39">
        <f t="shared" si="0"/>
        <v>29956.616489906606</v>
      </c>
      <c r="D39">
        <f t="shared" si="1"/>
        <v>29957</v>
      </c>
    </row>
    <row r="40" spans="1:4" x14ac:dyDescent="0.45">
      <c r="A40" t="s">
        <v>38</v>
      </c>
      <c r="B40">
        <v>5520</v>
      </c>
      <c r="C40">
        <f t="shared" si="0"/>
        <v>5593.4960262586501</v>
      </c>
      <c r="D40">
        <f t="shared" si="1"/>
        <v>5593</v>
      </c>
    </row>
    <row r="41" spans="1:4" x14ac:dyDescent="0.45">
      <c r="A41" t="s">
        <v>39</v>
      </c>
      <c r="B41">
        <v>752</v>
      </c>
      <c r="C41">
        <f t="shared" si="0"/>
        <v>762.01250212798993</v>
      </c>
      <c r="D41">
        <f t="shared" si="1"/>
        <v>762</v>
      </c>
    </row>
    <row r="42" spans="1:4" x14ac:dyDescent="0.45">
      <c r="A42" t="s">
        <v>40</v>
      </c>
      <c r="B42">
        <v>15300</v>
      </c>
      <c r="C42">
        <f t="shared" si="0"/>
        <v>15503.711811912563</v>
      </c>
      <c r="D42">
        <f t="shared" si="1"/>
        <v>15504</v>
      </c>
    </row>
    <row r="43" spans="1:4" x14ac:dyDescent="0.45">
      <c r="A43" t="s">
        <v>41</v>
      </c>
      <c r="B43">
        <v>8471</v>
      </c>
      <c r="C43">
        <f t="shared" si="0"/>
        <v>8583.7871084125036</v>
      </c>
      <c r="D43">
        <f t="shared" si="1"/>
        <v>8584</v>
      </c>
    </row>
    <row r="44" spans="1:4" x14ac:dyDescent="0.45">
      <c r="A44" t="s">
        <v>42</v>
      </c>
      <c r="B44">
        <v>470</v>
      </c>
      <c r="C44">
        <f t="shared" si="0"/>
        <v>476.25781382999372</v>
      </c>
      <c r="D44">
        <f t="shared" si="1"/>
        <v>476</v>
      </c>
    </row>
    <row r="45" spans="1:4" x14ac:dyDescent="0.45">
      <c r="A45" t="s">
        <v>43</v>
      </c>
      <c r="B45">
        <v>291</v>
      </c>
      <c r="C45">
        <f t="shared" si="0"/>
        <v>294.87451877559187</v>
      </c>
      <c r="D45">
        <f t="shared" si="1"/>
        <v>295</v>
      </c>
    </row>
    <row r="46" spans="1:4" x14ac:dyDescent="0.45">
      <c r="A46" t="s">
        <v>44</v>
      </c>
      <c r="B46">
        <v>25766</v>
      </c>
      <c r="C46">
        <f t="shared" si="0"/>
        <v>26109.061342858764</v>
      </c>
      <c r="D46">
        <f t="shared" si="1"/>
        <v>26109</v>
      </c>
    </row>
    <row r="48" spans="1:4" x14ac:dyDescent="0.45">
      <c r="A48" t="s">
        <v>48</v>
      </c>
      <c r="B48">
        <f>SUM(B2:B46)</f>
        <v>334823</v>
      </c>
      <c r="C48">
        <f t="shared" ref="C48:D48" si="2">SUM(C2:C46)</f>
        <v>339280.99999999988</v>
      </c>
      <c r="D48">
        <f t="shared" si="2"/>
        <v>339281</v>
      </c>
    </row>
    <row r="49" spans="1:2" x14ac:dyDescent="0.45">
      <c r="A49" t="s">
        <v>49</v>
      </c>
      <c r="B49">
        <v>339281</v>
      </c>
    </row>
    <row r="50" spans="1:2" x14ac:dyDescent="0.45">
      <c r="A50" t="s">
        <v>50</v>
      </c>
      <c r="B50">
        <f>B49/B48</f>
        <v>1.013314497510625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KDS17</dc:creator>
  <cp:lastModifiedBy>KDS17</cp:lastModifiedBy>
  <dcterms:created xsi:type="dcterms:W3CDTF">2026-02-10T14:57:11Z</dcterms:created>
  <dcterms:modified xsi:type="dcterms:W3CDTF">2026-02-10T15:13:30Z</dcterms:modified>
</cp:coreProperties>
</file>