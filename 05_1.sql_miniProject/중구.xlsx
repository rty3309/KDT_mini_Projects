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8_{02B7D9C1-E409-4A84-9689-BFD6B4B7A536}" xr6:coauthVersionLast="47" xr6:coauthVersionMax="47" xr10:uidLastSave="{00000000-0000-0000-0000-000000000000}"/>
  <bookViews>
    <workbookView xWindow="12710" yWindow="0" windowWidth="12980" windowHeight="15370" xr2:uid="{3F78247E-F275-4D04-8031-C678DF58A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  <c r="B4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3" i="1"/>
  <c r="C2" i="1"/>
  <c r="C46" i="1" s="1"/>
  <c r="B46" i="1"/>
</calcChain>
</file>

<file path=xl/sharedStrings.xml><?xml version="1.0" encoding="utf-8"?>
<sst xmlns="http://schemas.openxmlformats.org/spreadsheetml/2006/main" count="50" uniqueCount="50">
  <si>
    <t>인구</t>
    <phoneticPr fontId="1" type="noConversion"/>
  </si>
  <si>
    <t>비율계산</t>
    <phoneticPr fontId="1" type="noConversion"/>
  </si>
  <si>
    <t>동인동</t>
    <phoneticPr fontId="1" type="noConversion"/>
  </si>
  <si>
    <t>삼덕동</t>
    <phoneticPr fontId="1" type="noConversion"/>
  </si>
  <si>
    <t>공평동</t>
    <phoneticPr fontId="1" type="noConversion"/>
  </si>
  <si>
    <t>교동</t>
    <phoneticPr fontId="1" type="noConversion"/>
  </si>
  <si>
    <t>동문동</t>
    <phoneticPr fontId="1" type="noConversion"/>
  </si>
  <si>
    <t>문화동</t>
    <phoneticPr fontId="1" type="noConversion"/>
  </si>
  <si>
    <t>봉산동</t>
    <phoneticPr fontId="1" type="noConversion"/>
  </si>
  <si>
    <t>사일동</t>
    <phoneticPr fontId="1" type="noConversion"/>
  </si>
  <si>
    <t>상덕동</t>
    <phoneticPr fontId="1" type="noConversion"/>
  </si>
  <si>
    <t>완전동</t>
    <phoneticPr fontId="1" type="noConversion"/>
  </si>
  <si>
    <t>용덕동</t>
    <phoneticPr fontId="1" type="noConversion"/>
  </si>
  <si>
    <t>태평로</t>
    <phoneticPr fontId="1" type="noConversion"/>
  </si>
  <si>
    <t>동성로</t>
    <phoneticPr fontId="1" type="noConversion"/>
  </si>
  <si>
    <t>포정동</t>
    <phoneticPr fontId="1" type="noConversion"/>
  </si>
  <si>
    <t>화전동</t>
    <phoneticPr fontId="1" type="noConversion"/>
  </si>
  <si>
    <t>남일동</t>
    <phoneticPr fontId="1" type="noConversion"/>
  </si>
  <si>
    <t>덕산동</t>
    <phoneticPr fontId="1" type="noConversion"/>
  </si>
  <si>
    <t>북성로</t>
    <phoneticPr fontId="1" type="noConversion"/>
  </si>
  <si>
    <t>계산동</t>
    <phoneticPr fontId="1" type="noConversion"/>
  </si>
  <si>
    <t>남성로</t>
    <phoneticPr fontId="1" type="noConversion"/>
  </si>
  <si>
    <t>대안동</t>
    <phoneticPr fontId="1" type="noConversion"/>
  </si>
  <si>
    <t>북내동</t>
    <phoneticPr fontId="1" type="noConversion"/>
  </si>
  <si>
    <t>상서동</t>
    <phoneticPr fontId="1" type="noConversion"/>
  </si>
  <si>
    <t>서내동</t>
    <phoneticPr fontId="1" type="noConversion"/>
  </si>
  <si>
    <t>장관동</t>
    <phoneticPr fontId="1" type="noConversion"/>
  </si>
  <si>
    <t>동일동</t>
    <phoneticPr fontId="1" type="noConversion"/>
  </si>
  <si>
    <t>종로</t>
    <phoneticPr fontId="1" type="noConversion"/>
  </si>
  <si>
    <t>서문로</t>
    <phoneticPr fontId="1" type="noConversion"/>
  </si>
  <si>
    <t>하서동</t>
    <phoneticPr fontId="1" type="noConversion"/>
  </si>
  <si>
    <t>서성로</t>
    <phoneticPr fontId="1" type="noConversion"/>
  </si>
  <si>
    <t>수동</t>
    <phoneticPr fontId="1" type="noConversion"/>
  </si>
  <si>
    <t>향촌동</t>
    <phoneticPr fontId="1" type="noConversion"/>
  </si>
  <si>
    <t>전동</t>
    <phoneticPr fontId="1" type="noConversion"/>
  </si>
  <si>
    <t>동산동</t>
    <phoneticPr fontId="1" type="noConversion"/>
  </si>
  <si>
    <t>수창동</t>
    <phoneticPr fontId="1" type="noConversion"/>
  </si>
  <si>
    <t>달성동</t>
    <phoneticPr fontId="1" type="noConversion"/>
  </si>
  <si>
    <t>도원동</t>
    <phoneticPr fontId="1" type="noConversion"/>
  </si>
  <si>
    <t>인교동</t>
    <phoneticPr fontId="1" type="noConversion"/>
  </si>
  <si>
    <t>서야동</t>
    <phoneticPr fontId="1" type="noConversion"/>
  </si>
  <si>
    <t>시장북로</t>
    <phoneticPr fontId="1" type="noConversion"/>
  </si>
  <si>
    <t>대신동</t>
    <phoneticPr fontId="1" type="noConversion"/>
  </si>
  <si>
    <t>남산동</t>
    <phoneticPr fontId="1" type="noConversion"/>
  </si>
  <si>
    <t>대봉동</t>
    <phoneticPr fontId="1" type="noConversion"/>
  </si>
  <si>
    <t>합</t>
    <phoneticPr fontId="1" type="noConversion"/>
  </si>
  <si>
    <t>원래계</t>
    <phoneticPr fontId="1" type="noConversion"/>
  </si>
  <si>
    <t>비율</t>
    <phoneticPr fontId="1" type="noConversion"/>
  </si>
  <si>
    <t>반올림</t>
    <phoneticPr fontId="1" type="noConversion"/>
  </si>
  <si>
    <t>여기에 1더하기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</si>
</sst>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0407-D176-4421-921E-DAB7C9C19618}">
  <dimension ref="A1:E48"/>
  <sheetViews>
    <sheetView tabSelected="1" topLeftCell="A25" workbookViewId="0">
      <selection activeCell="E44" sqref="E44"/>
    </sheetView>
  </sheetViews>
  <sheetFormatPr defaultRowHeight="17" x14ac:dyDescent="0.45"/>
  <sheetData>
    <row r="1" spans="1:4" x14ac:dyDescent="0.45">
      <c r="B1" t="s">
        <v>0</v>
      </c>
      <c r="C1" t="s">
        <v>1</v>
      </c>
      <c r="D1" t="s">
        <v>48</v>
      </c>
    </row>
    <row r="2" spans="1:4" x14ac:dyDescent="0.45">
      <c r="A2" t="s">
        <v>2</v>
      </c>
      <c r="B2">
        <v>10949</v>
      </c>
      <c r="C2">
        <f>B2*$B$48</f>
        <v>11447.67607937313</v>
      </c>
      <c r="D2">
        <f>ROUND(C2,0)</f>
        <v>11448</v>
      </c>
    </row>
    <row r="3" spans="1:4" x14ac:dyDescent="0.45">
      <c r="A3" t="s">
        <v>3</v>
      </c>
      <c r="B3">
        <v>7393</v>
      </c>
      <c r="C3">
        <f>B3*$B$48</f>
        <v>7729.7168010599644</v>
      </c>
      <c r="D3">
        <f t="shared" ref="D3:D44" si="0">ROUND(C3,0)</f>
        <v>7730</v>
      </c>
    </row>
    <row r="4" spans="1:4" x14ac:dyDescent="0.45">
      <c r="A4" t="s">
        <v>4</v>
      </c>
      <c r="B4">
        <v>358</v>
      </c>
      <c r="C4">
        <f t="shared" ref="C4:C44" si="1">B4*$B$48</f>
        <v>374.3052366805718</v>
      </c>
      <c r="D4">
        <f t="shared" si="0"/>
        <v>374</v>
      </c>
    </row>
    <row r="5" spans="1:4" x14ac:dyDescent="0.45">
      <c r="A5" t="s">
        <v>5</v>
      </c>
      <c r="B5">
        <v>783</v>
      </c>
      <c r="C5">
        <f t="shared" si="1"/>
        <v>818.66201206951871</v>
      </c>
      <c r="D5">
        <f t="shared" si="0"/>
        <v>819</v>
      </c>
    </row>
    <row r="6" spans="1:4" x14ac:dyDescent="0.45">
      <c r="A6" t="s">
        <v>6</v>
      </c>
      <c r="B6">
        <v>3</v>
      </c>
      <c r="C6">
        <f t="shared" si="1"/>
        <v>3.1366360615690372</v>
      </c>
      <c r="D6">
        <f t="shared" si="0"/>
        <v>3</v>
      </c>
    </row>
    <row r="7" spans="1:4" x14ac:dyDescent="0.45">
      <c r="A7" t="s">
        <v>7</v>
      </c>
      <c r="B7">
        <v>287</v>
      </c>
      <c r="C7">
        <f t="shared" si="1"/>
        <v>300.0715165567712</v>
      </c>
      <c r="D7">
        <f t="shared" si="0"/>
        <v>300</v>
      </c>
    </row>
    <row r="8" spans="1:4" x14ac:dyDescent="0.45">
      <c r="A8" t="s">
        <v>8</v>
      </c>
      <c r="B8">
        <v>2152</v>
      </c>
      <c r="C8">
        <f t="shared" si="1"/>
        <v>2250.0136014988561</v>
      </c>
      <c r="D8">
        <f t="shared" si="0"/>
        <v>2250</v>
      </c>
    </row>
    <row r="9" spans="1:4" x14ac:dyDescent="0.45">
      <c r="A9" t="s">
        <v>9</v>
      </c>
      <c r="B9">
        <v>1</v>
      </c>
      <c r="C9">
        <f t="shared" si="1"/>
        <v>1.0455453538563457</v>
      </c>
      <c r="D9">
        <f t="shared" si="0"/>
        <v>1</v>
      </c>
    </row>
    <row r="10" spans="1:4" x14ac:dyDescent="0.45">
      <c r="A10" t="s">
        <v>10</v>
      </c>
      <c r="B10">
        <v>7</v>
      </c>
      <c r="C10">
        <f t="shared" si="1"/>
        <v>7.3188174769944201</v>
      </c>
      <c r="D10">
        <f t="shared" si="0"/>
        <v>7</v>
      </c>
    </row>
    <row r="11" spans="1:4" x14ac:dyDescent="0.45">
      <c r="A11" t="s">
        <v>11</v>
      </c>
      <c r="B11">
        <v>302</v>
      </c>
      <c r="C11">
        <f t="shared" si="1"/>
        <v>315.75469686461639</v>
      </c>
      <c r="D11">
        <f t="shared" si="0"/>
        <v>316</v>
      </c>
    </row>
    <row r="12" spans="1:4" x14ac:dyDescent="0.45">
      <c r="A12" t="s">
        <v>12</v>
      </c>
      <c r="B12">
        <v>41</v>
      </c>
      <c r="C12">
        <f t="shared" si="1"/>
        <v>42.867359508110177</v>
      </c>
      <c r="D12">
        <f t="shared" si="0"/>
        <v>43</v>
      </c>
    </row>
    <row r="13" spans="1:4" x14ac:dyDescent="0.45">
      <c r="A13" t="s">
        <v>13</v>
      </c>
      <c r="B13">
        <v>770</v>
      </c>
      <c r="C13">
        <f t="shared" si="1"/>
        <v>805.06992246938626</v>
      </c>
      <c r="D13">
        <f t="shared" si="0"/>
        <v>805</v>
      </c>
    </row>
    <row r="14" spans="1:4" x14ac:dyDescent="0.45">
      <c r="A14" t="s">
        <v>14</v>
      </c>
      <c r="B14">
        <v>65</v>
      </c>
      <c r="C14">
        <f t="shared" si="1"/>
        <v>67.960448000662467</v>
      </c>
      <c r="D14">
        <f t="shared" si="0"/>
        <v>68</v>
      </c>
    </row>
    <row r="15" spans="1:4" x14ac:dyDescent="0.45">
      <c r="A15" t="s">
        <v>15</v>
      </c>
      <c r="B15">
        <v>293</v>
      </c>
      <c r="C15">
        <f t="shared" si="1"/>
        <v>306.3447886799093</v>
      </c>
      <c r="D15">
        <f t="shared" si="0"/>
        <v>306</v>
      </c>
    </row>
    <row r="16" spans="1:4" x14ac:dyDescent="0.45">
      <c r="A16" t="s">
        <v>16</v>
      </c>
      <c r="B16">
        <v>30</v>
      </c>
      <c r="C16">
        <f t="shared" si="1"/>
        <v>31.366360615690372</v>
      </c>
      <c r="D16">
        <f t="shared" si="0"/>
        <v>31</v>
      </c>
    </row>
    <row r="17" spans="1:4" x14ac:dyDescent="0.45">
      <c r="A17" t="s">
        <v>17</v>
      </c>
      <c r="B17">
        <v>283</v>
      </c>
      <c r="C17">
        <f t="shared" si="1"/>
        <v>295.88933514134584</v>
      </c>
      <c r="D17">
        <f t="shared" si="0"/>
        <v>296</v>
      </c>
    </row>
    <row r="18" spans="1:4" x14ac:dyDescent="0.45">
      <c r="A18" t="s">
        <v>18</v>
      </c>
      <c r="B18">
        <v>5</v>
      </c>
      <c r="C18">
        <f t="shared" si="1"/>
        <v>5.2277267692817286</v>
      </c>
      <c r="D18">
        <f t="shared" si="0"/>
        <v>5</v>
      </c>
    </row>
    <row r="19" spans="1:4" x14ac:dyDescent="0.45">
      <c r="A19" t="s">
        <v>19</v>
      </c>
      <c r="B19">
        <v>156</v>
      </c>
      <c r="C19">
        <f t="shared" si="1"/>
        <v>163.10507520158993</v>
      </c>
      <c r="D19">
        <f t="shared" si="0"/>
        <v>163</v>
      </c>
    </row>
    <row r="20" spans="1:4" x14ac:dyDescent="0.45">
      <c r="A20" t="s">
        <v>20</v>
      </c>
      <c r="B20">
        <v>702</v>
      </c>
      <c r="C20">
        <f t="shared" si="1"/>
        <v>733.97283840715465</v>
      </c>
      <c r="D20">
        <f t="shared" si="0"/>
        <v>734</v>
      </c>
    </row>
    <row r="21" spans="1:4" x14ac:dyDescent="0.45">
      <c r="A21" t="s">
        <v>21</v>
      </c>
      <c r="B21">
        <v>80</v>
      </c>
      <c r="C21">
        <f t="shared" si="1"/>
        <v>83.643628308507658</v>
      </c>
      <c r="D21">
        <f t="shared" si="0"/>
        <v>84</v>
      </c>
    </row>
    <row r="22" spans="1:4" x14ac:dyDescent="0.45">
      <c r="A22" t="s">
        <v>22</v>
      </c>
      <c r="B22">
        <v>102</v>
      </c>
      <c r="C22">
        <f t="shared" si="1"/>
        <v>106.64562609334726</v>
      </c>
      <c r="D22">
        <f t="shared" si="0"/>
        <v>107</v>
      </c>
    </row>
    <row r="23" spans="1:4" x14ac:dyDescent="0.45">
      <c r="A23" t="s">
        <v>23</v>
      </c>
      <c r="B23">
        <v>94</v>
      </c>
      <c r="C23">
        <f t="shared" si="1"/>
        <v>98.281263262496495</v>
      </c>
      <c r="D23">
        <f t="shared" si="0"/>
        <v>98</v>
      </c>
    </row>
    <row r="24" spans="1:4" x14ac:dyDescent="0.45">
      <c r="A24" t="s">
        <v>24</v>
      </c>
      <c r="B24">
        <v>116</v>
      </c>
      <c r="C24">
        <f t="shared" si="1"/>
        <v>121.28326104733611</v>
      </c>
      <c r="D24">
        <f t="shared" si="0"/>
        <v>121</v>
      </c>
    </row>
    <row r="25" spans="1:4" x14ac:dyDescent="0.45">
      <c r="A25" t="s">
        <v>25</v>
      </c>
      <c r="B25">
        <v>73</v>
      </c>
      <c r="C25">
        <f t="shared" si="1"/>
        <v>76.324810831513233</v>
      </c>
      <c r="D25">
        <f t="shared" si="0"/>
        <v>76</v>
      </c>
    </row>
    <row r="26" spans="1:4" x14ac:dyDescent="0.45">
      <c r="A26" t="s">
        <v>26</v>
      </c>
      <c r="B26">
        <v>170</v>
      </c>
      <c r="C26">
        <f t="shared" si="1"/>
        <v>177.74271015557878</v>
      </c>
      <c r="D26">
        <f t="shared" si="0"/>
        <v>178</v>
      </c>
    </row>
    <row r="27" spans="1:4" x14ac:dyDescent="0.45">
      <c r="A27" t="s">
        <v>27</v>
      </c>
      <c r="B27">
        <v>3</v>
      </c>
      <c r="C27">
        <f t="shared" si="1"/>
        <v>3.1366360615690372</v>
      </c>
      <c r="D27">
        <f t="shared" si="0"/>
        <v>3</v>
      </c>
    </row>
    <row r="28" spans="1:4" x14ac:dyDescent="0.45">
      <c r="A28" t="s">
        <v>28</v>
      </c>
      <c r="B28">
        <v>145</v>
      </c>
      <c r="C28">
        <f t="shared" si="1"/>
        <v>151.60407630917013</v>
      </c>
      <c r="D28">
        <f t="shared" si="0"/>
        <v>152</v>
      </c>
    </row>
    <row r="29" spans="1:4" x14ac:dyDescent="0.45">
      <c r="A29" t="s">
        <v>29</v>
      </c>
      <c r="B29">
        <v>188</v>
      </c>
      <c r="C29">
        <f t="shared" si="1"/>
        <v>196.56252652499299</v>
      </c>
      <c r="D29">
        <f t="shared" si="0"/>
        <v>197</v>
      </c>
    </row>
    <row r="30" spans="1:4" x14ac:dyDescent="0.45">
      <c r="A30" t="s">
        <v>30</v>
      </c>
      <c r="B30">
        <v>551</v>
      </c>
      <c r="C30">
        <f t="shared" si="1"/>
        <v>576.09548997484649</v>
      </c>
      <c r="D30">
        <f t="shared" si="0"/>
        <v>576</v>
      </c>
    </row>
    <row r="31" spans="1:4" x14ac:dyDescent="0.45">
      <c r="A31" t="s">
        <v>31</v>
      </c>
      <c r="B31">
        <v>964</v>
      </c>
      <c r="C31">
        <f t="shared" si="1"/>
        <v>1007.9057211175173</v>
      </c>
      <c r="D31">
        <f t="shared" si="0"/>
        <v>1008</v>
      </c>
    </row>
    <row r="32" spans="1:4" x14ac:dyDescent="0.45">
      <c r="A32" t="s">
        <v>32</v>
      </c>
      <c r="B32">
        <v>174</v>
      </c>
      <c r="C32">
        <f t="shared" si="1"/>
        <v>181.92489157100417</v>
      </c>
      <c r="D32">
        <f t="shared" si="0"/>
        <v>182</v>
      </c>
    </row>
    <row r="33" spans="1:5" x14ac:dyDescent="0.45">
      <c r="A33" t="s">
        <v>33</v>
      </c>
      <c r="B33">
        <v>238</v>
      </c>
      <c r="C33">
        <f t="shared" si="1"/>
        <v>248.83979421781029</v>
      </c>
      <c r="D33">
        <f t="shared" si="0"/>
        <v>249</v>
      </c>
    </row>
    <row r="34" spans="1:5" x14ac:dyDescent="0.45">
      <c r="A34" t="s">
        <v>34</v>
      </c>
      <c r="B34">
        <v>45</v>
      </c>
      <c r="C34">
        <f t="shared" si="1"/>
        <v>47.04954092353556</v>
      </c>
      <c r="D34">
        <f t="shared" si="0"/>
        <v>47</v>
      </c>
    </row>
    <row r="35" spans="1:5" x14ac:dyDescent="0.45">
      <c r="A35" t="s">
        <v>35</v>
      </c>
      <c r="B35">
        <v>1324</v>
      </c>
      <c r="C35">
        <f t="shared" si="1"/>
        <v>1384.3020485058018</v>
      </c>
      <c r="D35">
        <f t="shared" si="0"/>
        <v>1384</v>
      </c>
    </row>
    <row r="36" spans="1:5" x14ac:dyDescent="0.45">
      <c r="A36" t="s">
        <v>36</v>
      </c>
      <c r="B36">
        <v>4978</v>
      </c>
      <c r="C36">
        <f t="shared" si="1"/>
        <v>5204.7247714968889</v>
      </c>
      <c r="D36">
        <f t="shared" si="0"/>
        <v>5205</v>
      </c>
    </row>
    <row r="37" spans="1:5" x14ac:dyDescent="0.45">
      <c r="A37" t="s">
        <v>37</v>
      </c>
      <c r="B37">
        <v>3892</v>
      </c>
      <c r="C37">
        <f t="shared" si="1"/>
        <v>4069.2625172088974</v>
      </c>
      <c r="D37">
        <f t="shared" si="0"/>
        <v>4069</v>
      </c>
    </row>
    <row r="38" spans="1:5" x14ac:dyDescent="0.45">
      <c r="A38" t="s">
        <v>38</v>
      </c>
      <c r="B38">
        <v>3030</v>
      </c>
      <c r="C38">
        <f t="shared" si="1"/>
        <v>3168.0024221847275</v>
      </c>
      <c r="D38">
        <f t="shared" si="0"/>
        <v>3168</v>
      </c>
    </row>
    <row r="39" spans="1:5" x14ac:dyDescent="0.45">
      <c r="A39" t="s">
        <v>39</v>
      </c>
      <c r="B39">
        <v>351</v>
      </c>
      <c r="C39">
        <f t="shared" si="1"/>
        <v>366.98641920357733</v>
      </c>
      <c r="D39">
        <f t="shared" si="0"/>
        <v>367</v>
      </c>
    </row>
    <row r="40" spans="1:5" x14ac:dyDescent="0.45">
      <c r="A40" t="s">
        <v>40</v>
      </c>
      <c r="B40">
        <v>163</v>
      </c>
      <c r="C40">
        <f t="shared" si="1"/>
        <v>170.42389267858437</v>
      </c>
      <c r="D40">
        <f t="shared" si="0"/>
        <v>170</v>
      </c>
    </row>
    <row r="41" spans="1:5" x14ac:dyDescent="0.45">
      <c r="A41" t="s">
        <v>41</v>
      </c>
      <c r="B41">
        <v>160</v>
      </c>
      <c r="C41">
        <f t="shared" si="1"/>
        <v>167.28725661701532</v>
      </c>
      <c r="D41">
        <f t="shared" si="0"/>
        <v>167</v>
      </c>
    </row>
    <row r="42" spans="1:5" x14ac:dyDescent="0.45">
      <c r="A42" t="s">
        <v>42</v>
      </c>
      <c r="B42">
        <v>7246</v>
      </c>
      <c r="C42">
        <f t="shared" si="1"/>
        <v>7576.0216340430816</v>
      </c>
      <c r="D42">
        <f t="shared" si="0"/>
        <v>7576</v>
      </c>
    </row>
    <row r="43" spans="1:5" x14ac:dyDescent="0.45">
      <c r="A43" t="s">
        <v>43</v>
      </c>
      <c r="B43">
        <v>34327</v>
      </c>
      <c r="C43">
        <f t="shared" si="1"/>
        <v>35890.435361826778</v>
      </c>
      <c r="D43">
        <f t="shared" si="0"/>
        <v>35890</v>
      </c>
      <c r="E43" t="s">
        <v>49</v>
      </c>
    </row>
    <row r="44" spans="1:5" x14ac:dyDescent="0.45">
      <c r="A44" t="s">
        <v>44</v>
      </c>
      <c r="B44">
        <v>13613</v>
      </c>
      <c r="C44">
        <f t="shared" si="1"/>
        <v>14233.008902046435</v>
      </c>
      <c r="D44">
        <f t="shared" si="0"/>
        <v>14233</v>
      </c>
    </row>
    <row r="46" spans="1:5" x14ac:dyDescent="0.45">
      <c r="A46" t="s">
        <v>45</v>
      </c>
      <c r="B46">
        <f>SUM(B2:B44)</f>
        <v>96607</v>
      </c>
      <c r="C46">
        <f>SUM(C2:C44)</f>
        <v>101006.99999999999</v>
      </c>
      <c r="D46">
        <f>SUM(D2:D44)</f>
        <v>101006</v>
      </c>
    </row>
    <row r="47" spans="1:5" x14ac:dyDescent="0.45">
      <c r="A47" t="s">
        <v>46</v>
      </c>
      <c r="B47">
        <v>101007</v>
      </c>
    </row>
    <row r="48" spans="1:5" x14ac:dyDescent="0.45">
      <c r="A48" t="s">
        <v>47</v>
      </c>
      <c r="B48">
        <f>B47/B46</f>
        <v>1.0455453538563457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2026-02-10T13:06:51Z</dcterms:created>
  <dcterms:modified xsi:type="dcterms:W3CDTF">2026-02-10T14:57:08Z</dcterms:modified>
</cp:coreProperties>
</file>