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DS17\Desktop\miniProject_sql\"/>
    </mc:Choice>
  </mc:AlternateContent>
  <xr:revisionPtr revIDLastSave="0" documentId="13_ncr:1_{1D894A5D-83D7-4945-B037-BEC2F5BC3036}" xr6:coauthVersionLast="47" xr6:coauthVersionMax="47" xr10:uidLastSave="{00000000-0000-0000-0000-000000000000}"/>
  <bookViews>
    <workbookView xWindow="11500" yWindow="2050" windowWidth="11380" windowHeight="11170" xr2:uid="{BEA1C644-B608-43FB-8E8B-8BA22A7936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7" i="1" l="1"/>
  <c r="B29" i="1" s="1"/>
  <c r="C19" i="1" s="1"/>
  <c r="D19" i="1" s="1"/>
  <c r="C25" i="1" l="1"/>
  <c r="D25" i="1" s="1"/>
  <c r="C24" i="1"/>
  <c r="D24" i="1" s="1"/>
  <c r="C10" i="1"/>
  <c r="D10" i="1" s="1"/>
  <c r="C18" i="1"/>
  <c r="D18" i="1" s="1"/>
  <c r="C9" i="1"/>
  <c r="D9" i="1" s="1"/>
  <c r="C4" i="1"/>
  <c r="D4" i="1" s="1"/>
  <c r="C17" i="1"/>
  <c r="D17" i="1" s="1"/>
  <c r="C8" i="1"/>
  <c r="D8" i="1" s="1"/>
  <c r="C16" i="1"/>
  <c r="D16" i="1" s="1"/>
  <c r="C7" i="1"/>
  <c r="D7" i="1" s="1"/>
  <c r="C15" i="1"/>
  <c r="D15" i="1" s="1"/>
  <c r="C23" i="1"/>
  <c r="D23" i="1" s="1"/>
  <c r="C6" i="1"/>
  <c r="D6" i="1" s="1"/>
  <c r="C22" i="1"/>
  <c r="D22" i="1" s="1"/>
  <c r="C5" i="1"/>
  <c r="D5" i="1" s="1"/>
  <c r="C13" i="1"/>
  <c r="D13" i="1" s="1"/>
  <c r="C3" i="1"/>
  <c r="D3" i="1" s="1"/>
  <c r="C20" i="1"/>
  <c r="D20" i="1" s="1"/>
  <c r="C11" i="1"/>
  <c r="D11" i="1" s="1"/>
  <c r="C14" i="1"/>
  <c r="D14" i="1" s="1"/>
  <c r="C2" i="1"/>
  <c r="C21" i="1"/>
  <c r="D21" i="1" s="1"/>
  <c r="C12" i="1"/>
  <c r="D12" i="1" s="1"/>
  <c r="C27" i="1" l="1"/>
  <c r="D2" i="1"/>
  <c r="D27" i="1" s="1"/>
</calcChain>
</file>

<file path=xl/sharedStrings.xml><?xml version="1.0" encoding="utf-8"?>
<sst xmlns="http://schemas.openxmlformats.org/spreadsheetml/2006/main" count="31" uniqueCount="31">
  <si>
    <t>인구</t>
    <phoneticPr fontId="1" type="noConversion"/>
  </si>
  <si>
    <t>비율계산</t>
    <phoneticPr fontId="1" type="noConversion"/>
  </si>
  <si>
    <t>반올림</t>
    <phoneticPr fontId="1" type="noConversion"/>
  </si>
  <si>
    <t>합</t>
    <phoneticPr fontId="1" type="noConversion"/>
  </si>
  <si>
    <t>원래 계</t>
    <phoneticPr fontId="1" type="noConversion"/>
  </si>
  <si>
    <t>비율</t>
    <phoneticPr fontId="1" type="noConversion"/>
  </si>
  <si>
    <t>갈산동</t>
    <phoneticPr fontId="1" type="noConversion"/>
  </si>
  <si>
    <t>감삼동</t>
    <phoneticPr fontId="1" type="noConversion"/>
  </si>
  <si>
    <t>대곡동</t>
    <phoneticPr fontId="1" type="noConversion"/>
  </si>
  <si>
    <t>대천동</t>
    <phoneticPr fontId="1" type="noConversion"/>
  </si>
  <si>
    <t>도원동</t>
    <phoneticPr fontId="1" type="noConversion"/>
  </si>
  <si>
    <t>두류동</t>
    <phoneticPr fontId="1" type="noConversion"/>
  </si>
  <si>
    <t>본동</t>
    <phoneticPr fontId="1" type="noConversion"/>
  </si>
  <si>
    <t>본리동</t>
    <phoneticPr fontId="1" type="noConversion"/>
  </si>
  <si>
    <t>상인동</t>
    <phoneticPr fontId="1" type="noConversion"/>
  </si>
  <si>
    <t>성당동</t>
    <phoneticPr fontId="1" type="noConversion"/>
  </si>
  <si>
    <t>송현동</t>
    <phoneticPr fontId="1" type="noConversion"/>
  </si>
  <si>
    <t>신당동</t>
    <phoneticPr fontId="1" type="noConversion"/>
  </si>
  <si>
    <t>용산동</t>
    <phoneticPr fontId="1" type="noConversion"/>
  </si>
  <si>
    <t>월성동</t>
    <phoneticPr fontId="1" type="noConversion"/>
  </si>
  <si>
    <t>월암동</t>
    <phoneticPr fontId="1" type="noConversion"/>
  </si>
  <si>
    <t>유천동</t>
    <phoneticPr fontId="1" type="noConversion"/>
  </si>
  <si>
    <t>이곡동</t>
    <phoneticPr fontId="1" type="noConversion"/>
  </si>
  <si>
    <t>장기동</t>
    <phoneticPr fontId="1" type="noConversion"/>
  </si>
  <si>
    <t>장동</t>
    <phoneticPr fontId="1" type="noConversion"/>
  </si>
  <si>
    <t>죽전동</t>
    <phoneticPr fontId="1" type="noConversion"/>
  </si>
  <si>
    <t>진천동</t>
    <phoneticPr fontId="1" type="noConversion"/>
  </si>
  <si>
    <t>파호동</t>
    <phoneticPr fontId="1" type="noConversion"/>
  </si>
  <si>
    <t>호림동</t>
    <phoneticPr fontId="1" type="noConversion"/>
  </si>
  <si>
    <t>호산동</t>
    <phoneticPr fontId="1" type="noConversion"/>
  </si>
  <si>
    <t>여기 1더함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</si>
</sst>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DF562-B338-45FE-8FD3-C425897E6A05}">
  <dimension ref="A1:E29"/>
  <sheetViews>
    <sheetView tabSelected="1" topLeftCell="A10" workbookViewId="0">
      <selection activeCell="F27" sqref="F27"/>
    </sheetView>
  </sheetViews>
  <sheetFormatPr defaultRowHeight="17" x14ac:dyDescent="0.45"/>
  <sheetData>
    <row r="1" spans="1:5" x14ac:dyDescent="0.45">
      <c r="B1" t="s">
        <v>0</v>
      </c>
      <c r="C1" t="s">
        <v>1</v>
      </c>
      <c r="D1" t="s">
        <v>2</v>
      </c>
    </row>
    <row r="2" spans="1:5" x14ac:dyDescent="0.45">
      <c r="A2" t="s">
        <v>6</v>
      </c>
      <c r="B2">
        <v>167</v>
      </c>
      <c r="C2">
        <f>B2*$B$29</f>
        <v>167.18171257529087</v>
      </c>
      <c r="D2">
        <f>ROUND(C2,0)</f>
        <v>167</v>
      </c>
    </row>
    <row r="3" spans="1:5" x14ac:dyDescent="0.45">
      <c r="A3" t="s">
        <v>7</v>
      </c>
      <c r="B3">
        <v>35448</v>
      </c>
      <c r="C3">
        <f>B3*$B$29</f>
        <v>35486.570942328806</v>
      </c>
      <c r="D3">
        <f t="shared" ref="D3:D24" si="0">ROUND(C3,0)</f>
        <v>35487</v>
      </c>
    </row>
    <row r="4" spans="1:5" x14ac:dyDescent="0.45">
      <c r="A4" t="s">
        <v>8</v>
      </c>
      <c r="B4">
        <v>19498</v>
      </c>
      <c r="C4">
        <f>B4*$B$29</f>
        <v>19519.215759239647</v>
      </c>
      <c r="D4">
        <f t="shared" si="0"/>
        <v>19519</v>
      </c>
    </row>
    <row r="5" spans="1:5" x14ac:dyDescent="0.45">
      <c r="A5" t="s">
        <v>9</v>
      </c>
      <c r="B5">
        <v>10719</v>
      </c>
      <c r="C5">
        <f>B5*$B$29</f>
        <v>10730.663335895466</v>
      </c>
      <c r="D5">
        <f t="shared" si="0"/>
        <v>10731</v>
      </c>
    </row>
    <row r="6" spans="1:5" x14ac:dyDescent="0.45">
      <c r="A6" t="s">
        <v>10</v>
      </c>
      <c r="B6">
        <v>31317</v>
      </c>
      <c r="C6">
        <f>B6*$B$29</f>
        <v>31351.076004313676</v>
      </c>
      <c r="D6">
        <f t="shared" si="0"/>
        <v>31351</v>
      </c>
    </row>
    <row r="7" spans="1:5" x14ac:dyDescent="0.45">
      <c r="A7" t="s">
        <v>11</v>
      </c>
      <c r="B7">
        <v>24644</v>
      </c>
      <c r="C7">
        <f>B7*$B$29</f>
        <v>24670.815117996815</v>
      </c>
      <c r="D7">
        <f t="shared" si="0"/>
        <v>24671</v>
      </c>
    </row>
    <row r="8" spans="1:5" x14ac:dyDescent="0.45">
      <c r="A8" t="s">
        <v>12</v>
      </c>
      <c r="B8">
        <v>12374</v>
      </c>
      <c r="C8">
        <f>B8*$B$29</f>
        <v>12387.464140159576</v>
      </c>
      <c r="D8">
        <f t="shared" si="0"/>
        <v>12387</v>
      </c>
    </row>
    <row r="9" spans="1:5" x14ac:dyDescent="0.45">
      <c r="A9" t="s">
        <v>13</v>
      </c>
      <c r="B9">
        <v>22580</v>
      </c>
      <c r="C9">
        <f>B9*$B$29</f>
        <v>22604.56928113813</v>
      </c>
      <c r="D9">
        <f t="shared" si="0"/>
        <v>22605</v>
      </c>
    </row>
    <row r="10" spans="1:5" x14ac:dyDescent="0.45">
      <c r="A10" t="s">
        <v>14</v>
      </c>
      <c r="B10">
        <v>59024</v>
      </c>
      <c r="C10">
        <f>B10*$B$29</f>
        <v>59088.223970323161</v>
      </c>
      <c r="D10">
        <f t="shared" si="0"/>
        <v>59088</v>
      </c>
    </row>
    <row r="11" spans="1:5" x14ac:dyDescent="0.45">
      <c r="A11" t="s">
        <v>15</v>
      </c>
      <c r="B11">
        <v>20208</v>
      </c>
      <c r="C11">
        <f>B11*$B$29</f>
        <v>20229.988309709446</v>
      </c>
      <c r="D11">
        <f t="shared" si="0"/>
        <v>20230</v>
      </c>
    </row>
    <row r="12" spans="1:5" x14ac:dyDescent="0.45">
      <c r="A12" t="s">
        <v>16</v>
      </c>
      <c r="B12">
        <v>34079</v>
      </c>
      <c r="C12">
        <f>B12*$B$29</f>
        <v>34116.081334451119</v>
      </c>
      <c r="D12">
        <f t="shared" si="0"/>
        <v>34116</v>
      </c>
    </row>
    <row r="13" spans="1:5" x14ac:dyDescent="0.45">
      <c r="A13" t="s">
        <v>17</v>
      </c>
      <c r="B13">
        <v>14496</v>
      </c>
      <c r="C13">
        <f>B13*$B$29</f>
        <v>14511.773086774949</v>
      </c>
      <c r="D13">
        <f t="shared" si="0"/>
        <v>14512</v>
      </c>
    </row>
    <row r="14" spans="1:5" x14ac:dyDescent="0.45">
      <c r="A14" t="s">
        <v>18</v>
      </c>
      <c r="B14">
        <v>52447</v>
      </c>
      <c r="C14">
        <f>B14*$B$29</f>
        <v>52504.067541534612</v>
      </c>
      <c r="D14">
        <f t="shared" si="0"/>
        <v>52504</v>
      </c>
    </row>
    <row r="15" spans="1:5" x14ac:dyDescent="0.45">
      <c r="A15" t="s">
        <v>19</v>
      </c>
      <c r="B15">
        <v>52834</v>
      </c>
      <c r="C15">
        <f>B15*$B$29</f>
        <v>52891.488635945614</v>
      </c>
      <c r="D15">
        <f t="shared" si="0"/>
        <v>52891</v>
      </c>
      <c r="E15" t="s">
        <v>30</v>
      </c>
    </row>
    <row r="16" spans="1:5" x14ac:dyDescent="0.45">
      <c r="A16" t="s">
        <v>20</v>
      </c>
      <c r="B16">
        <v>233</v>
      </c>
      <c r="C16">
        <f>B16*$B$29</f>
        <v>233.25352712600463</v>
      </c>
      <c r="D16">
        <f t="shared" si="0"/>
        <v>233</v>
      </c>
    </row>
    <row r="17" spans="1:4" x14ac:dyDescent="0.45">
      <c r="A17" t="s">
        <v>21</v>
      </c>
      <c r="B17">
        <v>22689</v>
      </c>
      <c r="C17">
        <f>B17*$B$29</f>
        <v>22713.687883956733</v>
      </c>
      <c r="D17">
        <f t="shared" si="0"/>
        <v>22714</v>
      </c>
    </row>
    <row r="18" spans="1:4" x14ac:dyDescent="0.45">
      <c r="A18" t="s">
        <v>22</v>
      </c>
      <c r="B18">
        <v>34012</v>
      </c>
      <c r="C18">
        <f>B18*$B$29</f>
        <v>34049.008431801158</v>
      </c>
      <c r="D18">
        <f t="shared" si="0"/>
        <v>34049</v>
      </c>
    </row>
    <row r="19" spans="1:4" x14ac:dyDescent="0.45">
      <c r="A19" t="s">
        <v>23</v>
      </c>
      <c r="B19">
        <v>15988</v>
      </c>
      <c r="C19">
        <f>B19*$B$29</f>
        <v>16005.39653086078</v>
      </c>
      <c r="D19">
        <f t="shared" si="0"/>
        <v>16005</v>
      </c>
    </row>
    <row r="20" spans="1:4" x14ac:dyDescent="0.45">
      <c r="A20" t="s">
        <v>24</v>
      </c>
      <c r="B20">
        <v>118</v>
      </c>
      <c r="C20">
        <f>B20*$B$29</f>
        <v>118.12839571188216</v>
      </c>
      <c r="D20">
        <f t="shared" si="0"/>
        <v>118</v>
      </c>
    </row>
    <row r="21" spans="1:4" x14ac:dyDescent="0.45">
      <c r="A21" t="s">
        <v>25</v>
      </c>
      <c r="B21">
        <v>10022</v>
      </c>
      <c r="C21">
        <f>B21*$B$29</f>
        <v>10032.904930715958</v>
      </c>
      <c r="D21">
        <f t="shared" si="0"/>
        <v>10033</v>
      </c>
    </row>
    <row r="22" spans="1:4" x14ac:dyDescent="0.45">
      <c r="A22" t="s">
        <v>26</v>
      </c>
      <c r="B22">
        <v>30438</v>
      </c>
      <c r="C22">
        <f>B22*$B$29</f>
        <v>30471.119565070079</v>
      </c>
      <c r="D22">
        <f t="shared" si="0"/>
        <v>30471</v>
      </c>
    </row>
    <row r="23" spans="1:4" x14ac:dyDescent="0.45">
      <c r="A23" t="s">
        <v>27</v>
      </c>
      <c r="B23">
        <v>5941</v>
      </c>
      <c r="C23">
        <f>B23*$B$29</f>
        <v>5947.4643976634916</v>
      </c>
      <c r="D23">
        <f t="shared" si="0"/>
        <v>5947</v>
      </c>
    </row>
    <row r="24" spans="1:4" x14ac:dyDescent="0.45">
      <c r="A24" t="s">
        <v>28</v>
      </c>
      <c r="B24">
        <v>67</v>
      </c>
      <c r="C24">
        <f>B24*$B$29</f>
        <v>67.072902649966991</v>
      </c>
      <c r="D24">
        <f t="shared" si="0"/>
        <v>67</v>
      </c>
    </row>
    <row r="25" spans="1:4" x14ac:dyDescent="0.45">
      <c r="A25" t="s">
        <v>29</v>
      </c>
      <c r="B25">
        <v>7154</v>
      </c>
      <c r="C25">
        <f>B25*$B$29</f>
        <v>7161.7842620576694</v>
      </c>
      <c r="D25">
        <f t="shared" ref="D25" si="1">ROUND(C25,0)</f>
        <v>7162</v>
      </c>
    </row>
    <row r="27" spans="1:4" x14ac:dyDescent="0.45">
      <c r="A27" t="s">
        <v>3</v>
      </c>
      <c r="B27">
        <f>SUM(B2:B25)</f>
        <v>516497</v>
      </c>
      <c r="C27">
        <f>SUM(C2:C25)</f>
        <v>517059</v>
      </c>
      <c r="D27">
        <f>SUM(D2:D25)</f>
        <v>517058</v>
      </c>
    </row>
    <row r="28" spans="1:4" x14ac:dyDescent="0.45">
      <c r="A28" t="s">
        <v>4</v>
      </c>
      <c r="B28">
        <v>517059</v>
      </c>
    </row>
    <row r="29" spans="1:4" x14ac:dyDescent="0.45">
      <c r="A29" t="s">
        <v>5</v>
      </c>
      <c r="B29">
        <f>B28/B27</f>
        <v>1.0010880992532387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KDS17</dc:creator>
  <cp:lastModifiedBy>KDS17</cp:lastModifiedBy>
  <dcterms:created xsi:type="dcterms:W3CDTF">2026-02-10T14:57:11Z</dcterms:created>
  <dcterms:modified xsi:type="dcterms:W3CDTF">2026-02-10T16:10:53Z</dcterms:modified>
</cp:coreProperties>
</file>