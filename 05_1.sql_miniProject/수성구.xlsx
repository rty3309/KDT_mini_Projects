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S17\Desktop\miniProject_sql\"/>
    </mc:Choice>
  </mc:AlternateContent>
  <xr:revisionPtr revIDLastSave="0" documentId="13_ncr:1_{E960DFDF-C9D4-478C-AA28-39B1BDD7B709}" xr6:coauthVersionLast="47" xr6:coauthVersionMax="47" xr10:uidLastSave="{00000000-0000-0000-0000-000000000000}"/>
  <bookViews>
    <workbookView xWindow="12250" yWindow="310" windowWidth="11380" windowHeight="11170" xr2:uid="{BEA1C644-B608-43FB-8E8B-8BA22A793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" i="1" l="1"/>
  <c r="B28" i="1" s="1"/>
  <c r="C19" i="1" s="1"/>
  <c r="D19" i="1" s="1"/>
  <c r="C24" i="1" l="1"/>
  <c r="D24" i="1" s="1"/>
  <c r="C10" i="1"/>
  <c r="D10" i="1" s="1"/>
  <c r="C18" i="1"/>
  <c r="D18" i="1" s="1"/>
  <c r="C9" i="1"/>
  <c r="D9" i="1" s="1"/>
  <c r="C4" i="1"/>
  <c r="D4" i="1" s="1"/>
  <c r="C17" i="1"/>
  <c r="D17" i="1" s="1"/>
  <c r="C8" i="1"/>
  <c r="D8" i="1" s="1"/>
  <c r="C16" i="1"/>
  <c r="D16" i="1" s="1"/>
  <c r="C7" i="1"/>
  <c r="D7" i="1" s="1"/>
  <c r="C15" i="1"/>
  <c r="D15" i="1" s="1"/>
  <c r="C23" i="1"/>
  <c r="D23" i="1" s="1"/>
  <c r="C6" i="1"/>
  <c r="D6" i="1" s="1"/>
  <c r="C22" i="1"/>
  <c r="D22" i="1" s="1"/>
  <c r="C5" i="1"/>
  <c r="D5" i="1" s="1"/>
  <c r="C13" i="1"/>
  <c r="D13" i="1" s="1"/>
  <c r="C3" i="1"/>
  <c r="D3" i="1" s="1"/>
  <c r="C20" i="1"/>
  <c r="D20" i="1" s="1"/>
  <c r="C11" i="1"/>
  <c r="D11" i="1" s="1"/>
  <c r="C14" i="1"/>
  <c r="D14" i="1" s="1"/>
  <c r="C2" i="1"/>
  <c r="C21" i="1"/>
  <c r="D21" i="1" s="1"/>
  <c r="C12" i="1"/>
  <c r="D12" i="1" s="1"/>
  <c r="C26" i="1" l="1"/>
  <c r="D2" i="1"/>
  <c r="D26" i="1" s="1"/>
</calcChain>
</file>

<file path=xl/sharedStrings.xml><?xml version="1.0" encoding="utf-8"?>
<sst xmlns="http://schemas.openxmlformats.org/spreadsheetml/2006/main" count="29" uniqueCount="29">
  <si>
    <t>인구</t>
    <phoneticPr fontId="1" type="noConversion"/>
  </si>
  <si>
    <t>비율계산</t>
    <phoneticPr fontId="1" type="noConversion"/>
  </si>
  <si>
    <t>반올림</t>
    <phoneticPr fontId="1" type="noConversion"/>
  </si>
  <si>
    <t>합</t>
    <phoneticPr fontId="1" type="noConversion"/>
  </si>
  <si>
    <t>원래 계</t>
    <phoneticPr fontId="1" type="noConversion"/>
  </si>
  <si>
    <t>비율</t>
    <phoneticPr fontId="1" type="noConversion"/>
  </si>
  <si>
    <t>가천동</t>
    <phoneticPr fontId="1" type="noConversion"/>
  </si>
  <si>
    <t>고모동</t>
    <phoneticPr fontId="1" type="noConversion"/>
  </si>
  <si>
    <t>노변동</t>
    <phoneticPr fontId="1" type="noConversion"/>
  </si>
  <si>
    <t>대흥동</t>
    <phoneticPr fontId="1" type="noConversion"/>
  </si>
  <si>
    <t>두산동</t>
    <phoneticPr fontId="1" type="noConversion"/>
  </si>
  <si>
    <t>만촌동</t>
    <phoneticPr fontId="1" type="noConversion"/>
  </si>
  <si>
    <t>매호동</t>
    <phoneticPr fontId="1" type="noConversion"/>
  </si>
  <si>
    <t>범물동</t>
    <phoneticPr fontId="1" type="noConversion"/>
  </si>
  <si>
    <t>사월동</t>
    <phoneticPr fontId="1" type="noConversion"/>
  </si>
  <si>
    <t>삼덕동</t>
    <phoneticPr fontId="1" type="noConversion"/>
  </si>
  <si>
    <t>상동</t>
    <phoneticPr fontId="1" type="noConversion"/>
  </si>
  <si>
    <t>성동</t>
    <phoneticPr fontId="1" type="noConversion"/>
  </si>
  <si>
    <t>수성동</t>
    <phoneticPr fontId="1" type="noConversion"/>
  </si>
  <si>
    <t>시지동</t>
    <phoneticPr fontId="1" type="noConversion"/>
  </si>
  <si>
    <t>신매동</t>
    <phoneticPr fontId="1" type="noConversion"/>
  </si>
  <si>
    <t>연호동</t>
    <phoneticPr fontId="1" type="noConversion"/>
  </si>
  <si>
    <t>욱수동</t>
    <phoneticPr fontId="1" type="noConversion"/>
  </si>
  <si>
    <t>이천동</t>
    <phoneticPr fontId="1" type="noConversion"/>
  </si>
  <si>
    <t>중동</t>
    <phoneticPr fontId="1" type="noConversion"/>
  </si>
  <si>
    <t>지산동</t>
    <phoneticPr fontId="1" type="noConversion"/>
  </si>
  <si>
    <t>파동</t>
    <phoneticPr fontId="1" type="noConversion"/>
  </si>
  <si>
    <t>황금동</t>
    <phoneticPr fontId="1" type="noConversion"/>
  </si>
  <si>
    <t>범어동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</si>
</sst>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F562-B338-45FE-8FD3-C425897E6A05}">
  <dimension ref="A1:D28"/>
  <sheetViews>
    <sheetView tabSelected="1" topLeftCell="A19" workbookViewId="0">
      <selection activeCell="B28" sqref="B28"/>
    </sheetView>
  </sheetViews>
  <sheetFormatPr defaultRowHeight="17" x14ac:dyDescent="0.45"/>
  <sheetData>
    <row r="1" spans="1:4" x14ac:dyDescent="0.45">
      <c r="B1" t="s">
        <v>0</v>
      </c>
      <c r="C1" t="s">
        <v>1</v>
      </c>
      <c r="D1" t="s">
        <v>2</v>
      </c>
    </row>
    <row r="2" spans="1:4" x14ac:dyDescent="0.45">
      <c r="A2" t="s">
        <v>6</v>
      </c>
      <c r="B2">
        <v>237</v>
      </c>
      <c r="C2">
        <f>B2*$B$28</f>
        <v>236.95425615867052</v>
      </c>
      <c r="D2">
        <f>ROUND(C2,0)</f>
        <v>237</v>
      </c>
    </row>
    <row r="3" spans="1:4" x14ac:dyDescent="0.45">
      <c r="A3" t="s">
        <v>7</v>
      </c>
      <c r="B3">
        <v>213</v>
      </c>
      <c r="C3">
        <f>B3*$B$28</f>
        <v>212.9588884464001</v>
      </c>
      <c r="D3">
        <f t="shared" ref="D3:D24" si="0">ROUND(C3,0)</f>
        <v>213</v>
      </c>
    </row>
    <row r="4" spans="1:4" x14ac:dyDescent="0.45">
      <c r="A4" t="s">
        <v>8</v>
      </c>
      <c r="B4">
        <v>5983</v>
      </c>
      <c r="C4">
        <f>B4*$B$28</f>
        <v>5981.845209271416</v>
      </c>
      <c r="D4">
        <f t="shared" si="0"/>
        <v>5982</v>
      </c>
    </row>
    <row r="5" spans="1:4" x14ac:dyDescent="0.45">
      <c r="A5" t="s">
        <v>9</v>
      </c>
      <c r="B5">
        <v>147</v>
      </c>
      <c r="C5">
        <f>B5*$B$28</f>
        <v>146.97162723765641</v>
      </c>
      <c r="D5">
        <f t="shared" si="0"/>
        <v>147</v>
      </c>
    </row>
    <row r="6" spans="1:4" x14ac:dyDescent="0.45">
      <c r="A6" t="s">
        <v>10</v>
      </c>
      <c r="B6">
        <v>14815</v>
      </c>
      <c r="C6">
        <f>B6*$B$28</f>
        <v>14812.140527386935</v>
      </c>
      <c r="D6">
        <f t="shared" si="0"/>
        <v>14812</v>
      </c>
    </row>
    <row r="7" spans="1:4" x14ac:dyDescent="0.45">
      <c r="A7" t="s">
        <v>11</v>
      </c>
      <c r="B7">
        <v>54504</v>
      </c>
      <c r="C7">
        <f>B7*$B$28</f>
        <v>54493.480074566149</v>
      </c>
      <c r="D7">
        <f t="shared" si="0"/>
        <v>54493</v>
      </c>
    </row>
    <row r="8" spans="1:4" x14ac:dyDescent="0.45">
      <c r="A8" t="s">
        <v>12</v>
      </c>
      <c r="B8">
        <v>14791</v>
      </c>
      <c r="C8">
        <f>B8*$B$28</f>
        <v>14788.145159674665</v>
      </c>
      <c r="D8">
        <f t="shared" si="0"/>
        <v>14788</v>
      </c>
    </row>
    <row r="9" spans="1:4" x14ac:dyDescent="0.45">
      <c r="A9" t="s">
        <v>13</v>
      </c>
      <c r="B9">
        <v>25462</v>
      </c>
      <c r="C9">
        <f>B9*$B$28</f>
        <v>25457.085528742904</v>
      </c>
      <c r="D9">
        <f t="shared" si="0"/>
        <v>25457</v>
      </c>
    </row>
    <row r="10" spans="1:4" x14ac:dyDescent="0.45">
      <c r="A10" t="s">
        <v>28</v>
      </c>
      <c r="B10">
        <v>72432</v>
      </c>
      <c r="C10">
        <f>B10*$B$28</f>
        <v>72418.019755632165</v>
      </c>
      <c r="D10">
        <f t="shared" si="0"/>
        <v>72418</v>
      </c>
    </row>
    <row r="11" spans="1:4" x14ac:dyDescent="0.45">
      <c r="A11" t="s">
        <v>14</v>
      </c>
      <c r="B11">
        <v>11194</v>
      </c>
      <c r="C11">
        <f>B11*$B$28</f>
        <v>11191.839423798134</v>
      </c>
      <c r="D11">
        <f t="shared" si="0"/>
        <v>11192</v>
      </c>
    </row>
    <row r="12" spans="1:4" x14ac:dyDescent="0.45">
      <c r="A12" t="s">
        <v>15</v>
      </c>
      <c r="B12">
        <v>424</v>
      </c>
      <c r="C12">
        <f>B12*$B$28</f>
        <v>423.91816291677765</v>
      </c>
      <c r="D12">
        <f t="shared" si="0"/>
        <v>424</v>
      </c>
    </row>
    <row r="13" spans="1:4" x14ac:dyDescent="0.45">
      <c r="A13" t="s">
        <v>16</v>
      </c>
      <c r="B13">
        <v>14040</v>
      </c>
      <c r="C13">
        <f>B13*$B$28</f>
        <v>14037.290111678203</v>
      </c>
      <c r="D13">
        <f t="shared" si="0"/>
        <v>14037</v>
      </c>
    </row>
    <row r="14" spans="1:4" x14ac:dyDescent="0.45">
      <c r="A14" t="s">
        <v>17</v>
      </c>
      <c r="B14">
        <v>193</v>
      </c>
      <c r="C14">
        <f>B14*$B$28</f>
        <v>192.96274868617473</v>
      </c>
      <c r="D14">
        <f t="shared" si="0"/>
        <v>193</v>
      </c>
    </row>
    <row r="15" spans="1:4" x14ac:dyDescent="0.45">
      <c r="A15" t="s">
        <v>18</v>
      </c>
      <c r="B15">
        <v>40311</v>
      </c>
      <c r="C15">
        <f>B15*$B$28</f>
        <v>40303.219493722223</v>
      </c>
      <c r="D15">
        <f t="shared" si="0"/>
        <v>40303</v>
      </c>
    </row>
    <row r="16" spans="1:4" x14ac:dyDescent="0.45">
      <c r="A16" t="s">
        <v>19</v>
      </c>
      <c r="B16">
        <v>17951</v>
      </c>
      <c r="C16">
        <f>B16*$B$28</f>
        <v>17947.535241790272</v>
      </c>
      <c r="D16">
        <f t="shared" si="0"/>
        <v>17948</v>
      </c>
    </row>
    <row r="17" spans="1:4" x14ac:dyDescent="0.45">
      <c r="A17" t="s">
        <v>20</v>
      </c>
      <c r="B17">
        <v>28882</v>
      </c>
      <c r="C17">
        <f>B17*$B$28</f>
        <v>28876.425427741444</v>
      </c>
      <c r="D17">
        <f t="shared" si="0"/>
        <v>28876</v>
      </c>
    </row>
    <row r="18" spans="1:4" x14ac:dyDescent="0.45">
      <c r="A18" t="s">
        <v>21</v>
      </c>
      <c r="B18">
        <v>429</v>
      </c>
      <c r="C18">
        <f>B18*$B$28</f>
        <v>428.91719785683398</v>
      </c>
      <c r="D18">
        <f t="shared" si="0"/>
        <v>429</v>
      </c>
    </row>
    <row r="19" spans="1:4" x14ac:dyDescent="0.45">
      <c r="A19" t="s">
        <v>22</v>
      </c>
      <c r="B19">
        <v>5896</v>
      </c>
      <c r="C19">
        <f>B19*$B$28</f>
        <v>5894.8620013144364</v>
      </c>
      <c r="D19">
        <f t="shared" si="0"/>
        <v>5895</v>
      </c>
    </row>
    <row r="20" spans="1:4" x14ac:dyDescent="0.45">
      <c r="A20" t="s">
        <v>23</v>
      </c>
      <c r="B20">
        <v>479</v>
      </c>
      <c r="C20">
        <f>B20*$B$28</f>
        <v>478.90754725739737</v>
      </c>
      <c r="D20">
        <f t="shared" si="0"/>
        <v>479</v>
      </c>
    </row>
    <row r="21" spans="1:4" x14ac:dyDescent="0.45">
      <c r="A21" t="s">
        <v>24</v>
      </c>
      <c r="B21">
        <v>14458</v>
      </c>
      <c r="C21">
        <f>B21*$B$28</f>
        <v>14455.209432666912</v>
      </c>
      <c r="D21">
        <f t="shared" si="0"/>
        <v>14455</v>
      </c>
    </row>
    <row r="22" spans="1:4" x14ac:dyDescent="0.45">
      <c r="A22" t="s">
        <v>25</v>
      </c>
      <c r="B22">
        <v>37135</v>
      </c>
      <c r="C22">
        <f>B22*$B$28</f>
        <v>37127.832499798438</v>
      </c>
      <c r="D22">
        <f t="shared" si="0"/>
        <v>37128</v>
      </c>
    </row>
    <row r="23" spans="1:4" x14ac:dyDescent="0.45">
      <c r="A23" t="s">
        <v>26</v>
      </c>
      <c r="B23">
        <v>16549</v>
      </c>
      <c r="C23">
        <f>B23*$B$28</f>
        <v>16545.805844598475</v>
      </c>
      <c r="D23">
        <f t="shared" si="0"/>
        <v>16546</v>
      </c>
    </row>
    <row r="24" spans="1:4" x14ac:dyDescent="0.45">
      <c r="A24" t="s">
        <v>27</v>
      </c>
      <c r="B24">
        <v>32776</v>
      </c>
      <c r="C24">
        <f>B24*$B$28</f>
        <v>32769.673839057323</v>
      </c>
      <c r="D24">
        <f t="shared" si="0"/>
        <v>32770</v>
      </c>
    </row>
    <row r="26" spans="1:4" x14ac:dyDescent="0.45">
      <c r="A26" t="s">
        <v>3</v>
      </c>
      <c r="B26">
        <f>SUM(B2:B24)</f>
        <v>409301</v>
      </c>
      <c r="C26">
        <f>SUM(C2:C24)</f>
        <v>409221.99999999988</v>
      </c>
      <c r="D26">
        <f>SUM(D2:D24)</f>
        <v>409222</v>
      </c>
    </row>
    <row r="27" spans="1:4" x14ac:dyDescent="0.45">
      <c r="A27" t="s">
        <v>4</v>
      </c>
      <c r="B27">
        <v>409222</v>
      </c>
    </row>
    <row r="28" spans="1:4" x14ac:dyDescent="0.45">
      <c r="A28" t="s">
        <v>5</v>
      </c>
      <c r="B28">
        <f>B27/B26</f>
        <v>0.99980698801126799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KDS17</dc:creator>
  <cp:lastModifiedBy>KDS17</cp:lastModifiedBy>
  <dcterms:created xsi:type="dcterms:W3CDTF">2026-02-10T14:57:11Z</dcterms:created>
  <dcterms:modified xsi:type="dcterms:W3CDTF">2026-02-10T15:55:41Z</dcterms:modified>
</cp:coreProperties>
</file>